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ls\Bariloche\Administracion\Sistema\Excels\"/>
    </mc:Choice>
  </mc:AlternateContent>
  <xr:revisionPtr revIDLastSave="0" documentId="13_ncr:1_{023C8E49-D38A-4B66-9BB6-5522AF2C161F}" xr6:coauthVersionLast="47" xr6:coauthVersionMax="47" xr10:uidLastSave="{00000000-0000-0000-0000-000000000000}"/>
  <bookViews>
    <workbookView xWindow="-120" yWindow="-120" windowWidth="20730" windowHeight="11310" tabRatio="601" activeTab="2" xr2:uid="{00000000-000D-0000-FFFF-FFFF00000000}"/>
  </bookViews>
  <sheets>
    <sheet name="Ordenes" sheetId="1" r:id="rId1"/>
    <sheet name="Costos Fijos" sheetId="2" r:id="rId2"/>
    <sheet name="Resumen" sheetId="3" r:id="rId3"/>
    <sheet name="Hoja4" sheetId="4" r:id="rId4"/>
  </sheets>
  <externalReferences>
    <externalReference r:id="rId5"/>
    <externalReference r:id="rId6"/>
    <externalReference r:id="rId7"/>
    <externalReference r:id="rId8"/>
  </externalReferences>
  <definedNames>
    <definedName name="Consulta_reparacionesELS" localSheetId="0" hidden="1">Ordenes!$A$1:$AA$289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E27" i="3" l="1"/>
  <c r="F23" i="3"/>
  <c r="B20" i="3"/>
  <c r="B23" i="3"/>
  <c r="F27" i="3"/>
  <c r="F19" i="3"/>
  <c r="E19" i="3"/>
  <c r="E23" i="3"/>
  <c r="J23" i="3"/>
  <c r="J27" i="3"/>
  <c r="J25" i="3"/>
  <c r="F29" i="3"/>
  <c r="F25" i="3"/>
  <c r="F21" i="3"/>
  <c r="E29" i="3"/>
  <c r="E25" i="3"/>
  <c r="E21" i="3"/>
  <c r="B27" i="3"/>
  <c r="B19" i="3"/>
  <c r="J29" i="3"/>
  <c r="J20" i="3"/>
  <c r="F28" i="3"/>
  <c r="F26" i="3"/>
  <c r="F24" i="3"/>
  <c r="F22" i="3"/>
  <c r="F20" i="3"/>
  <c r="F18" i="3"/>
  <c r="E28" i="3"/>
  <c r="E26" i="3"/>
  <c r="E24" i="3"/>
  <c r="E22" i="3"/>
  <c r="E20" i="3"/>
  <c r="E18" i="3"/>
  <c r="J21" i="3"/>
  <c r="J19" i="3"/>
  <c r="B29" i="3"/>
  <c r="B25" i="3"/>
  <c r="B21" i="3"/>
  <c r="B18" i="3"/>
  <c r="J18" i="3"/>
  <c r="J28" i="3"/>
  <c r="J26" i="3"/>
  <c r="J24" i="3"/>
  <c r="J22" i="3"/>
  <c r="B28" i="3"/>
  <c r="B26" i="3"/>
  <c r="B24" i="3"/>
  <c r="B22" i="3"/>
  <c r="M14" i="3" l="1"/>
  <c r="M30" i="3" s="1"/>
  <c r="M11" i="3"/>
  <c r="K11" i="3"/>
  <c r="K9" i="3"/>
  <c r="L5" i="3"/>
  <c r="K5" i="3"/>
  <c r="L4" i="3"/>
  <c r="L3" i="3"/>
  <c r="K3" i="3"/>
  <c r="L2" i="3"/>
  <c r="K30" i="3"/>
  <c r="L30" i="3"/>
  <c r="J31" i="2"/>
  <c r="H31" i="2"/>
  <c r="D31" i="2"/>
  <c r="C31" i="2"/>
  <c r="B31" i="2"/>
  <c r="K30" i="2"/>
  <c r="I30" i="2"/>
  <c r="G30" i="2"/>
  <c r="F30" i="2"/>
  <c r="E30" i="2"/>
  <c r="K29" i="2"/>
  <c r="I29" i="2"/>
  <c r="G29" i="2"/>
  <c r="F29" i="2"/>
  <c r="E29" i="2"/>
  <c r="K28" i="2"/>
  <c r="I28" i="2"/>
  <c r="G28" i="2"/>
  <c r="F28" i="2"/>
  <c r="E28" i="2"/>
  <c r="K27" i="2"/>
  <c r="I27" i="2"/>
  <c r="G27" i="2"/>
  <c r="F27" i="2"/>
  <c r="E27" i="2"/>
  <c r="K26" i="2"/>
  <c r="I26" i="2"/>
  <c r="G26" i="2"/>
  <c r="F26" i="2"/>
  <c r="E26" i="2"/>
  <c r="K25" i="2"/>
  <c r="I25" i="2"/>
  <c r="G25" i="2"/>
  <c r="F25" i="2"/>
  <c r="E25" i="2"/>
  <c r="K24" i="2"/>
  <c r="I24" i="2"/>
  <c r="G24" i="2"/>
  <c r="F24" i="2"/>
  <c r="E24" i="2"/>
  <c r="K23" i="2"/>
  <c r="I23" i="2"/>
  <c r="G23" i="2"/>
  <c r="F23" i="2"/>
  <c r="E23" i="2"/>
  <c r="K22" i="2"/>
  <c r="I22" i="2"/>
  <c r="G22" i="2"/>
  <c r="F22" i="2"/>
  <c r="E22" i="2"/>
  <c r="K21" i="2"/>
  <c r="I21" i="2"/>
  <c r="G21" i="2"/>
  <c r="F21" i="2"/>
  <c r="E21" i="2"/>
  <c r="K20" i="2"/>
  <c r="I20" i="2"/>
  <c r="G20" i="2"/>
  <c r="F20" i="2"/>
  <c r="E20" i="2"/>
  <c r="K19" i="2"/>
  <c r="I19" i="2"/>
  <c r="G19" i="2"/>
  <c r="F19" i="2"/>
  <c r="E19" i="2"/>
  <c r="J14" i="2"/>
  <c r="H14" i="2"/>
  <c r="C14" i="2"/>
  <c r="B14" i="2"/>
  <c r="K13" i="2"/>
  <c r="I13" i="2"/>
  <c r="G13" i="2"/>
  <c r="F13" i="2"/>
  <c r="E13" i="2"/>
  <c r="K12" i="2"/>
  <c r="I12" i="2"/>
  <c r="G12" i="2"/>
  <c r="F12" i="2"/>
  <c r="E12" i="2"/>
  <c r="K11" i="2"/>
  <c r="I11" i="2"/>
  <c r="G11" i="2"/>
  <c r="F11" i="2"/>
  <c r="E11" i="2"/>
  <c r="K10" i="2"/>
  <c r="I10" i="2"/>
  <c r="G10" i="2"/>
  <c r="F10" i="2"/>
  <c r="E10" i="2"/>
  <c r="K9" i="2"/>
  <c r="I9" i="2"/>
  <c r="G9" i="2"/>
  <c r="F9" i="2"/>
  <c r="E9" i="2"/>
  <c r="K8" i="2"/>
  <c r="I8" i="2"/>
  <c r="G8" i="2"/>
  <c r="F8" i="2"/>
  <c r="E8" i="2"/>
  <c r="K7" i="2"/>
  <c r="I7" i="2"/>
  <c r="G7" i="2"/>
  <c r="F7" i="2"/>
  <c r="E7" i="2"/>
  <c r="K6" i="2"/>
  <c r="I6" i="2"/>
  <c r="G6" i="2"/>
  <c r="F6" i="2"/>
  <c r="E6" i="2"/>
  <c r="K5" i="2"/>
  <c r="I5" i="2"/>
  <c r="G5" i="2"/>
  <c r="F5" i="2"/>
  <c r="E5" i="2"/>
  <c r="K4" i="2"/>
  <c r="I4" i="2"/>
  <c r="G4" i="2"/>
  <c r="F4" i="2"/>
  <c r="E4" i="2"/>
  <c r="K3" i="2"/>
  <c r="I3" i="2"/>
  <c r="G3" i="2"/>
  <c r="F3" i="2"/>
  <c r="E3" i="2"/>
  <c r="K2" i="2"/>
  <c r="I2" i="2"/>
  <c r="G2" i="2"/>
  <c r="F2" i="2"/>
  <c r="E2" i="2"/>
  <c r="D14" i="2"/>
  <c r="L9" i="2" l="1"/>
  <c r="L8" i="2"/>
  <c r="L3" i="2"/>
  <c r="L7" i="2"/>
  <c r="E31" i="2"/>
  <c r="G14" i="2"/>
  <c r="L4" i="2"/>
  <c r="L10" i="2"/>
  <c r="L11" i="2"/>
  <c r="E14" i="2"/>
  <c r="K14" i="2"/>
  <c r="L6" i="2"/>
  <c r="L12" i="2"/>
  <c r="F14" i="2"/>
  <c r="K31" i="2"/>
  <c r="L22" i="2"/>
  <c r="C21" i="3" s="1"/>
  <c r="D21" i="3" s="1"/>
  <c r="L26" i="2"/>
  <c r="C25" i="3" s="1"/>
  <c r="G25" i="3" s="1"/>
  <c r="L30" i="2"/>
  <c r="C29" i="3" s="1"/>
  <c r="H29" i="3" s="1"/>
  <c r="I29" i="3" s="1"/>
  <c r="F31" i="2"/>
  <c r="G31" i="2"/>
  <c r="L5" i="2"/>
  <c r="L13" i="2"/>
  <c r="I31" i="2"/>
  <c r="I14" i="2"/>
  <c r="L20" i="2"/>
  <c r="C19" i="3" s="1"/>
  <c r="G19" i="3" s="1"/>
  <c r="L24" i="2"/>
  <c r="C23" i="3" s="1"/>
  <c r="G23" i="3" s="1"/>
  <c r="L28" i="2"/>
  <c r="C27" i="3" s="1"/>
  <c r="H27" i="3" s="1"/>
  <c r="I27" i="3" s="1"/>
  <c r="L21" i="2"/>
  <c r="C20" i="3" s="1"/>
  <c r="H20" i="3" s="1"/>
  <c r="I20" i="3" s="1"/>
  <c r="L25" i="2"/>
  <c r="C24" i="3" s="1"/>
  <c r="D24" i="3" s="1"/>
  <c r="L29" i="2"/>
  <c r="C28" i="3" s="1"/>
  <c r="H28" i="3" s="1"/>
  <c r="I28" i="3" s="1"/>
  <c r="L23" i="2"/>
  <c r="C22" i="3" s="1"/>
  <c r="H22" i="3" s="1"/>
  <c r="I22" i="3" s="1"/>
  <c r="L27" i="2"/>
  <c r="C26" i="3" s="1"/>
  <c r="D26" i="3" s="1"/>
  <c r="B10" i="3"/>
  <c r="E30" i="3"/>
  <c r="D27" i="3"/>
  <c r="D29" i="3"/>
  <c r="B30" i="3"/>
  <c r="G29" i="3"/>
  <c r="L19" i="2"/>
  <c r="L2" i="2"/>
  <c r="D20" i="3" l="1"/>
  <c r="G21" i="3"/>
  <c r="C10" i="3"/>
  <c r="H21" i="3"/>
  <c r="I21" i="3" s="1"/>
  <c r="H25" i="3"/>
  <c r="I25" i="3" s="1"/>
  <c r="D25" i="3"/>
  <c r="L14" i="2"/>
  <c r="H26" i="3"/>
  <c r="I26" i="3" s="1"/>
  <c r="D19" i="3"/>
  <c r="G26" i="3"/>
  <c r="D28" i="3"/>
  <c r="D23" i="3"/>
  <c r="H19" i="3"/>
  <c r="I19" i="3" s="1"/>
  <c r="G24" i="3"/>
  <c r="H23" i="3"/>
  <c r="I23" i="3" s="1"/>
  <c r="G28" i="3"/>
  <c r="H24" i="3"/>
  <c r="I24" i="3" s="1"/>
  <c r="D22" i="3"/>
  <c r="G27" i="3"/>
  <c r="L31" i="2"/>
  <c r="C18" i="3"/>
  <c r="G18" i="3" s="1"/>
  <c r="F30" i="3"/>
  <c r="G22" i="3"/>
  <c r="G20" i="3"/>
  <c r="J30" i="3"/>
  <c r="C30" i="3" l="1"/>
  <c r="D18" i="3"/>
  <c r="H18" i="3"/>
  <c r="I18" i="3" s="1"/>
  <c r="G30" i="3" l="1"/>
  <c r="H30" i="3"/>
  <c r="I30" i="3" s="1"/>
  <c r="D30" i="3"/>
  <c r="J3" i="3" l="1"/>
  <c r="J4" i="3"/>
  <c r="J5" i="3"/>
  <c r="J6" i="3"/>
  <c r="J7" i="3"/>
  <c r="J8" i="3"/>
  <c r="J9" i="3"/>
  <c r="J10" i="3"/>
  <c r="J11" i="3"/>
  <c r="J12" i="3"/>
  <c r="J13" i="3"/>
  <c r="J2" i="3"/>
  <c r="B3" i="3"/>
  <c r="B4" i="3"/>
  <c r="B5" i="3"/>
  <c r="B6" i="3"/>
  <c r="B7" i="3"/>
  <c r="B8" i="3"/>
  <c r="B9" i="3"/>
  <c r="B11" i="3"/>
  <c r="B12" i="3"/>
  <c r="B13" i="3"/>
  <c r="E3" i="3"/>
  <c r="E4" i="3"/>
  <c r="E5" i="3"/>
  <c r="E6" i="3"/>
  <c r="E7" i="3"/>
  <c r="E8" i="3"/>
  <c r="E9" i="3"/>
  <c r="E10" i="3"/>
  <c r="E11" i="3"/>
  <c r="E12" i="3"/>
  <c r="E13" i="3"/>
  <c r="F3" i="3"/>
  <c r="F4" i="3"/>
  <c r="F5" i="3"/>
  <c r="F6" i="3"/>
  <c r="F7" i="3"/>
  <c r="F8" i="3"/>
  <c r="F9" i="3"/>
  <c r="F10" i="3"/>
  <c r="F11" i="3"/>
  <c r="F12" i="3"/>
  <c r="F13" i="3"/>
  <c r="F2" i="3"/>
  <c r="E2" i="3"/>
  <c r="B2" i="3"/>
  <c r="L14" i="3"/>
  <c r="K14" i="3"/>
  <c r="C8" i="3"/>
  <c r="C6" i="3"/>
  <c r="C4" i="3"/>
  <c r="C5" i="3" l="1"/>
  <c r="C9" i="3"/>
  <c r="C2" i="3"/>
  <c r="C3" i="3"/>
  <c r="C7" i="3"/>
  <c r="C11" i="3"/>
  <c r="C12" i="3"/>
  <c r="C13" i="3"/>
  <c r="G11" i="3" l="1"/>
  <c r="G6" i="3"/>
  <c r="H6" i="3"/>
  <c r="I6" i="3" s="1"/>
  <c r="D6" i="3"/>
  <c r="G9" i="3"/>
  <c r="G4" i="3"/>
  <c r="D4" i="3"/>
  <c r="H4" i="3"/>
  <c r="I4" i="3" s="1"/>
  <c r="G12" i="3"/>
  <c r="G13" i="3"/>
  <c r="G7" i="3"/>
  <c r="G8" i="3"/>
  <c r="G5" i="3"/>
  <c r="J14" i="3" l="1"/>
  <c r="H10" i="3"/>
  <c r="I10" i="3" s="1"/>
  <c r="D10" i="3"/>
  <c r="E14" i="3"/>
  <c r="G3" i="3"/>
  <c r="D3" i="3"/>
  <c r="H3" i="3"/>
  <c r="I3" i="3" s="1"/>
  <c r="H5" i="3"/>
  <c r="I5" i="3" s="1"/>
  <c r="D5" i="3"/>
  <c r="B14" i="3"/>
  <c r="B31" i="3" s="1"/>
  <c r="H13" i="3"/>
  <c r="I13" i="3" s="1"/>
  <c r="D13" i="3"/>
  <c r="F14" i="3"/>
  <c r="H12" i="3"/>
  <c r="I12" i="3" s="1"/>
  <c r="D12" i="3"/>
  <c r="H8" i="3"/>
  <c r="I8" i="3" s="1"/>
  <c r="D8" i="3"/>
  <c r="G10" i="3"/>
  <c r="H7" i="3"/>
  <c r="I7" i="3" s="1"/>
  <c r="D7" i="3"/>
  <c r="H9" i="3"/>
  <c r="I9" i="3" s="1"/>
  <c r="D9" i="3"/>
  <c r="H11" i="3"/>
  <c r="I11" i="3" s="1"/>
  <c r="D11" i="3"/>
  <c r="G2" i="3" l="1"/>
  <c r="D2" i="3"/>
  <c r="C14" i="3"/>
  <c r="C31" i="3" s="1"/>
  <c r="H2" i="3"/>
  <c r="I2" i="3" s="1"/>
  <c r="H14" i="3" l="1"/>
  <c r="P11" i="3" s="1"/>
  <c r="D14" i="3"/>
  <c r="G14" i="3"/>
  <c r="P13" i="3" l="1"/>
  <c r="P27" i="3" s="1"/>
  <c r="I14" i="3"/>
  <c r="P14" i="3" l="1"/>
  <c r="P29" i="3"/>
  <c r="P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interval="2" name="Consulta reparacionesELS" type="1" refreshedVersion="8" background="1" refreshOnLoad="1" saveData="1">
    <dbPr connection="DSN=ReparSoft;UID=root;DESCRIPTION=MySQL Connection;SERVER=localhost;DATABASE=ordenesbrc;PORT=3306;FOUND_ROWS=1;" command="SELECT reparaciones_0.FechaEntrada AS 'FECHA DE ENTRADA', reparaciones_0.ELS, cliente_0.nombre AS 'CLIENTE', sucursal_0.NombreSucursal AS 'SUCURSAL', equipos_0.ClienteCliente AS 'CLIENTE DE CLIENTE', equipos_0.Nombre AS 'EQUIPO', equipos_0.Marca AS 'MARCA', equipos_0.Modelo AS 'MODELO', equipos_0.NumeroDeSerie AS 'N SERIE', equipos_0.Aviso AS 'AVISO', reparaciones_0.FechadeDiagnostico AS 'FECHA DIAGNOSTICO', reparaciones_0.FechAceptacion AS 'FECHA ACEPTACION', reparaciones_0.PrecioDolar AS 'PRECIO DOLAR', reparaciones_0.PrecioPeso AS 'PRECIO PESO', reparaciones_0.EstadoFisico AS 'ESTADO FISICO', reparaciones_0.EstadoTecnico AS 'ESTADO TECNICO', reparaciones_0.EstadoComercial AS 'ESTADO COMERCIAL', reparaciones_0.Pago AS 'PAGO', usuario_0.nombre AS 'TECNICO', reparaciones_0.OrdendeCompra AS 'OC', remitos_0.NumeroRemitoSalida AS 'REMITO'_x000d__x000a_FROM ordenesbrc.cliente cliente_0, ordenesbrc.equipos equipos_0, ordenesbrc.remitos remitos_0, ordenesbrc.reparaciones reparaciones_0, ordenesbrc.sucursal sucursal_0, ordenesbrc.usuario usuario_0_x000d__x000a_WHERE cliente_0.idCliente = equipos_0.idCliente AND cliente_0.idCliente = sucursal_0.idCliente AND equipos_0.IdEquipo = reparaciones_0.idEquipo AND equipos_0.IdSucursal = sucursal_0.IdSucursal AND remitos_0.idRemito = reparaciones_0.idRemito AND reparaciones_0.idUsuario = usuario_0.idUsuario_x000d__x000a_ORDER BY reparaciones_0.ELS"/>
  </connection>
</connections>
</file>

<file path=xl/sharedStrings.xml><?xml version="1.0" encoding="utf-8"?>
<sst xmlns="http://schemas.openxmlformats.org/spreadsheetml/2006/main" count="3881" uniqueCount="1005">
  <si>
    <t>ELS</t>
  </si>
  <si>
    <t>Ascensores Lucero</t>
  </si>
  <si>
    <t/>
  </si>
  <si>
    <t>BRC</t>
  </si>
  <si>
    <t>Reparado</t>
  </si>
  <si>
    <t>Aceptado</t>
  </si>
  <si>
    <t>Diego</t>
  </si>
  <si>
    <t>OC</t>
  </si>
  <si>
    <t>AÑO DE REPARACIÓN</t>
  </si>
  <si>
    <t>AÑO DE ENTRADA</t>
  </si>
  <si>
    <t>AÑO DE ACEP</t>
  </si>
  <si>
    <t xml:space="preserve">MES FACTURACIÓN </t>
  </si>
  <si>
    <t>AÑO FACTURACIÓN</t>
  </si>
  <si>
    <t>FECHA DE ENTRADA</t>
  </si>
  <si>
    <t>CLIENTE</t>
  </si>
  <si>
    <t>SUCURSAL</t>
  </si>
  <si>
    <t>CLIENTE DE CLIENTE</t>
  </si>
  <si>
    <t>EQUIPO</t>
  </si>
  <si>
    <t>MARCA</t>
  </si>
  <si>
    <t>MODELO</t>
  </si>
  <si>
    <t>N SERIE</t>
  </si>
  <si>
    <t>AVISO</t>
  </si>
  <si>
    <t>FECHA DIAGNOSTICO</t>
  </si>
  <si>
    <t>FECHA ACEPTACION</t>
  </si>
  <si>
    <t>PRECIO DOLAR</t>
  </si>
  <si>
    <t>PRECIO PESO</t>
  </si>
  <si>
    <t>ESTADO FISICO</t>
  </si>
  <si>
    <t>ESTADO TECNICO</t>
  </si>
  <si>
    <t>ESTADO COMERCIAL</t>
  </si>
  <si>
    <t>PAGO</t>
  </si>
  <si>
    <t>TECNICO</t>
  </si>
  <si>
    <t>REMITO</t>
  </si>
  <si>
    <t>VENTA</t>
  </si>
  <si>
    <t>SALDO</t>
  </si>
  <si>
    <t>FACTURA</t>
  </si>
  <si>
    <t>MES REP</t>
  </si>
  <si>
    <t>MES ENTR</t>
  </si>
  <si>
    <t>SALDO2</t>
  </si>
  <si>
    <t>PRESUPUESTO</t>
  </si>
  <si>
    <t xml:space="preserve">Diego </t>
  </si>
  <si>
    <t>Laura</t>
  </si>
  <si>
    <t>Sergio</t>
  </si>
  <si>
    <t>Luz Onelli</t>
  </si>
  <si>
    <t>Gastos  Var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</si>
  <si>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</si>
  <si>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</si>
  <si>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</si>
  <si>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</si>
  <si>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</si>
  <si>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</si>
  <si>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</si>
  <si>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</si>
  <si>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</si>
  <si>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</si>
  <si>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</si>
  <si>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</si>
  <si>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</si>
  <si>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</si>
  <si>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Monotributo + IIBB</t>
  </si>
  <si>
    <t>Facturacion</t>
  </si>
  <si>
    <t>Ganacia neta</t>
  </si>
  <si>
    <t>% costos fijos</t>
  </si>
  <si>
    <t>Dif GB-Fact</t>
  </si>
  <si>
    <t>Ganancia ELS</t>
  </si>
  <si>
    <t>Utilidad neta</t>
  </si>
  <si>
    <t>A COBRAR</t>
  </si>
  <si>
    <t>TOTAL REAL EN CAJA</t>
  </si>
  <si>
    <t>DIEFERENCIA CON CAJA BRC</t>
  </si>
  <si>
    <t>INVERTIDO</t>
  </si>
  <si>
    <t>INGRESO POR INVERSIÓN</t>
  </si>
  <si>
    <t>DÓLARES</t>
  </si>
  <si>
    <t>Mariel Celio</t>
  </si>
  <si>
    <t>Programador de Riego</t>
  </si>
  <si>
    <t>Gadnic</t>
  </si>
  <si>
    <t>AT 2000</t>
  </si>
  <si>
    <t>R70Z5</t>
  </si>
  <si>
    <t>Enviado</t>
  </si>
  <si>
    <t>Galcon</t>
  </si>
  <si>
    <t>9001D-C</t>
  </si>
  <si>
    <t>GM2529518</t>
  </si>
  <si>
    <t>9001BT</t>
  </si>
  <si>
    <t>NYMQG</t>
  </si>
  <si>
    <t>Julio (Instalador Convertec)</t>
  </si>
  <si>
    <t>Central de arranque y transferencia automática</t>
  </si>
  <si>
    <t>Datakom</t>
  </si>
  <si>
    <t>DKG-207</t>
  </si>
  <si>
    <t>2602070172960</t>
  </si>
  <si>
    <t>Placa de caldera</t>
  </si>
  <si>
    <t>Baxi (Siemens)</t>
  </si>
  <si>
    <t>Slim ( LMU33.201E149)</t>
  </si>
  <si>
    <t>9777</t>
  </si>
  <si>
    <t>Placa Fuente de ascensor</t>
  </si>
  <si>
    <t>Automac</t>
  </si>
  <si>
    <t>A6210</t>
  </si>
  <si>
    <t>A7422A</t>
  </si>
  <si>
    <t>Caldaia</t>
  </si>
  <si>
    <t>E312264 (TOP digital Sa26F)</t>
  </si>
  <si>
    <t>65E7Q</t>
  </si>
  <si>
    <t>A la Espera de Aceptación</t>
  </si>
  <si>
    <t>Privatel</t>
  </si>
  <si>
    <t>Cargador de baterías( 220vac - 12V/50A)</t>
  </si>
  <si>
    <t>HT SA</t>
  </si>
  <si>
    <t>CB-FL-12/750-50-D</t>
  </si>
  <si>
    <t>JOG9S</t>
  </si>
  <si>
    <t xml:space="preserve">Stec Climatización </t>
  </si>
  <si>
    <t>Genius M30 (11600011)</t>
  </si>
  <si>
    <t>PV6YG</t>
  </si>
  <si>
    <t>Inverter 48vdc / 220vac - 5000W</t>
  </si>
  <si>
    <t>Enertik</t>
  </si>
  <si>
    <t>INVERTER5KW</t>
  </si>
  <si>
    <t>92932011101828</t>
  </si>
  <si>
    <t>2602070124518</t>
  </si>
  <si>
    <t>MDP</t>
  </si>
  <si>
    <t>Micro-Ohmmetro</t>
  </si>
  <si>
    <t>Megabras</t>
  </si>
  <si>
    <t>MPK-253</t>
  </si>
  <si>
    <t>OA2098J</t>
  </si>
  <si>
    <t>Microondas + Grill + Convector</t>
  </si>
  <si>
    <t>Medion</t>
  </si>
  <si>
    <t>MD11711</t>
  </si>
  <si>
    <t>0076/08</t>
  </si>
  <si>
    <t>Camuzzi GAS + Agua</t>
  </si>
  <si>
    <t>Alquiler+exp+Muni</t>
  </si>
  <si>
    <t>MES DE ACEP</t>
  </si>
  <si>
    <t>EQUIPOS 2023 COBRADOS EN 2024</t>
  </si>
  <si>
    <t>Variador de velocidad 30 HP</t>
  </si>
  <si>
    <t>Telemecanique</t>
  </si>
  <si>
    <t>ATV58HD33N4</t>
  </si>
  <si>
    <t>6W0335000005B</t>
  </si>
  <si>
    <t>En Reparación</t>
  </si>
  <si>
    <t>Huilque SRL</t>
  </si>
  <si>
    <t>Horno Convector trifásico 6,25KW</t>
  </si>
  <si>
    <t>Pauna</t>
  </si>
  <si>
    <t>Beta 107I</t>
  </si>
  <si>
    <t>4580</t>
  </si>
  <si>
    <t>Sin revisar</t>
  </si>
  <si>
    <t>Ascensores Bariloche</t>
  </si>
  <si>
    <t>Operador de Puerta</t>
  </si>
  <si>
    <t>Fermator</t>
  </si>
  <si>
    <t>VVVF4+</t>
  </si>
  <si>
    <t>11/42739</t>
  </si>
  <si>
    <t>Teclado de música</t>
  </si>
  <si>
    <t>Casio</t>
  </si>
  <si>
    <t>CTK-230</t>
  </si>
  <si>
    <t>6369621</t>
  </si>
  <si>
    <t>CAJA AÑO ANTERIOR</t>
  </si>
  <si>
    <t>No Aceptaron Reparación</t>
  </si>
  <si>
    <t>NO Aceptado</t>
  </si>
  <si>
    <t>Andrés Gallardo (X28)</t>
  </si>
  <si>
    <t>DVR 8CH</t>
  </si>
  <si>
    <t>HIKVISION</t>
  </si>
  <si>
    <t>DS-7208HGHI-SHSE</t>
  </si>
  <si>
    <t>496010329</t>
  </si>
  <si>
    <t>BaxiRoca</t>
  </si>
  <si>
    <t>Laura 35/35TH</t>
  </si>
  <si>
    <t>42,062,03</t>
  </si>
  <si>
    <t>42,062,02</t>
  </si>
  <si>
    <t>Asociación Club Los Pehuenes</t>
  </si>
  <si>
    <t>Detector de Huella</t>
  </si>
  <si>
    <t>ZKTECO</t>
  </si>
  <si>
    <t>K20-ID-SSR-V2</t>
  </si>
  <si>
    <t>3157153200136</t>
  </si>
  <si>
    <t>Distribuidora Patagonia</t>
  </si>
  <si>
    <t>Notebook</t>
  </si>
  <si>
    <t>Samsung</t>
  </si>
  <si>
    <t>NP300E5C</t>
  </si>
  <si>
    <t>BA68-08754A</t>
  </si>
  <si>
    <t>5850</t>
  </si>
  <si>
    <t>Variador de velocidad 10HP</t>
  </si>
  <si>
    <t>ATV31HU75N4</t>
  </si>
  <si>
    <t>8B0931411132</t>
  </si>
  <si>
    <t>Freidora Industrial 8L</t>
  </si>
  <si>
    <t>Ind. Arg</t>
  </si>
  <si>
    <t>8L</t>
  </si>
  <si>
    <t>IAD5Y</t>
  </si>
  <si>
    <t>Ind. Arg.</t>
  </si>
  <si>
    <t>E1N6T</t>
  </si>
  <si>
    <t>Impresora</t>
  </si>
  <si>
    <t>Brother</t>
  </si>
  <si>
    <t>DCP-T300</t>
  </si>
  <si>
    <t>KQSOI</t>
  </si>
  <si>
    <t>IPATEC</t>
  </si>
  <si>
    <t>Sistema de elaboración de cerveza eléctrico</t>
  </si>
  <si>
    <t>Robobrew</t>
  </si>
  <si>
    <t>008695</t>
  </si>
  <si>
    <t>9337310008695</t>
  </si>
  <si>
    <t>Hugo</t>
  </si>
  <si>
    <t>Soldadora inverter 200A</t>
  </si>
  <si>
    <t>ESAB</t>
  </si>
  <si>
    <t>LHN 240i Plus</t>
  </si>
  <si>
    <t>R9KTD</t>
  </si>
  <si>
    <t>Jose Luis (Privatel)</t>
  </si>
  <si>
    <t>TV LCD 32</t>
  </si>
  <si>
    <t>LN32B530P7R</t>
  </si>
  <si>
    <t>AZXT3CPS600005W</t>
  </si>
  <si>
    <t>Ariel Lotito</t>
  </si>
  <si>
    <t>Ariston</t>
  </si>
  <si>
    <t>AMPC-GAL1 MCU STD MED FF</t>
  </si>
  <si>
    <t>1709066A0178</t>
  </si>
  <si>
    <t>Impresora Laser</t>
  </si>
  <si>
    <t>HL-1212W</t>
  </si>
  <si>
    <t>U63982F8N692142</t>
  </si>
  <si>
    <t>5942</t>
  </si>
  <si>
    <t>Alma Del Lago (Almasur S.A.)</t>
  </si>
  <si>
    <t>Placa de ascensor</t>
  </si>
  <si>
    <t>A6220v4</t>
  </si>
  <si>
    <t>199221020</t>
  </si>
  <si>
    <t>Leandro Slosel</t>
  </si>
  <si>
    <t>Sistema de control de Jacuzzi</t>
  </si>
  <si>
    <t>Balboa</t>
  </si>
  <si>
    <t>GL2001M3</t>
  </si>
  <si>
    <t>55216-031106160001</t>
  </si>
  <si>
    <t>Inverter 12vdc / 220vac - 600W</t>
  </si>
  <si>
    <t>IE-600-12</t>
  </si>
  <si>
    <t>E05Q026</t>
  </si>
  <si>
    <t>Cargador de baterías</t>
  </si>
  <si>
    <t>Makita</t>
  </si>
  <si>
    <t>DC18RA</t>
  </si>
  <si>
    <t>V3C1L</t>
  </si>
  <si>
    <t>Mamuschka SRL</t>
  </si>
  <si>
    <t>Placa de unidad exterior multisplit</t>
  </si>
  <si>
    <t>Mitsubishi</t>
  </si>
  <si>
    <t>INV20Y-BOARD KE76B5INV20Y-BOARD KE76B564G0264G02</t>
  </si>
  <si>
    <t>160112B</t>
  </si>
  <si>
    <t>Abuelo Ian</t>
  </si>
  <si>
    <t>Motor de portón eléctrico</t>
  </si>
  <si>
    <t>Central Tem</t>
  </si>
  <si>
    <t>PCI 0106/2</t>
  </si>
  <si>
    <t>K371U</t>
  </si>
  <si>
    <t>Nicolás (Placas Lav_Sec ropas)</t>
  </si>
  <si>
    <t>Placa de Lavarropas Next Eco</t>
  </si>
  <si>
    <t>Drean</t>
  </si>
  <si>
    <t>772204100</t>
  </si>
  <si>
    <t>3009162</t>
  </si>
  <si>
    <t>Placa de Secarropas ASL70C</t>
  </si>
  <si>
    <t>LT C126</t>
  </si>
  <si>
    <t>0639</t>
  </si>
  <si>
    <t>Baby monitor</t>
  </si>
  <si>
    <t>Philips</t>
  </si>
  <si>
    <t>scd501</t>
  </si>
  <si>
    <t>GC2TK</t>
  </si>
  <si>
    <t>Multifuncion Laser</t>
  </si>
  <si>
    <t>Sharp</t>
  </si>
  <si>
    <t>AL-2020</t>
  </si>
  <si>
    <t>85051196</t>
  </si>
  <si>
    <t>QUASAR INFORMATICA SA</t>
  </si>
  <si>
    <t>Cargador Automático Inteligente 12V 15A</t>
  </si>
  <si>
    <t>IC-15-12</t>
  </si>
  <si>
    <t>1L129</t>
  </si>
  <si>
    <t>Cargador de Baterias 220VAC  - 48V/20A</t>
  </si>
  <si>
    <t>Melex</t>
  </si>
  <si>
    <t>M4820</t>
  </si>
  <si>
    <t>3052</t>
  </si>
  <si>
    <t>Smart TV 65"</t>
  </si>
  <si>
    <t>65PUD6794/77</t>
  </si>
  <si>
    <t>ZA1A2040005413</t>
  </si>
  <si>
    <t>Rolando Soldadora MIG-MAG</t>
  </si>
  <si>
    <t>Cargador de Batería 12v 20A</t>
  </si>
  <si>
    <t>EC-20-12</t>
  </si>
  <si>
    <t>EC2012S063</t>
  </si>
  <si>
    <t>Variador de velocidad 7A</t>
  </si>
  <si>
    <t>Weg</t>
  </si>
  <si>
    <t>CFW500A07P0S2N</t>
  </si>
  <si>
    <t>7909018028743</t>
  </si>
  <si>
    <t>Aguirre (Inversor Enertik)</t>
  </si>
  <si>
    <t>Invereter 5KW</t>
  </si>
  <si>
    <t>ICB-5K-48</t>
  </si>
  <si>
    <t>92931911100882</t>
  </si>
  <si>
    <t>BT2M-HS MI/FFI MICRO (Microtec)</t>
  </si>
  <si>
    <t>2406032V2177</t>
  </si>
  <si>
    <t>Daniel Calderísta</t>
  </si>
  <si>
    <t>E321060 (TOP a perilla)</t>
  </si>
  <si>
    <t>DZSNF</t>
  </si>
  <si>
    <t>Placa de caldera de condensación</t>
  </si>
  <si>
    <t>GAL-EVO2 SE ENTRY ( MATIS )</t>
  </si>
  <si>
    <t>LM2021220435</t>
  </si>
  <si>
    <t>Jonathan Chacón</t>
  </si>
  <si>
    <t>BS II (GAL2-UNI LOW-TIER FF CN)</t>
  </si>
  <si>
    <t>301116GI2552</t>
  </si>
  <si>
    <t>H1U6J</t>
  </si>
  <si>
    <t>Gerardo (Caldera Pina)</t>
  </si>
  <si>
    <t>Baxi</t>
  </si>
  <si>
    <t>Mainfour 24 (CS0261F)</t>
  </si>
  <si>
    <t>00870</t>
  </si>
  <si>
    <t>Placa main de impresora</t>
  </si>
  <si>
    <t>HP</t>
  </si>
  <si>
    <t>CF427-60001</t>
  </si>
  <si>
    <t>YJ120KG</t>
  </si>
  <si>
    <t>MainFour 24 (CS0263C)</t>
  </si>
  <si>
    <t>5101141009</t>
  </si>
  <si>
    <t>eco 240 Fi (ECO 240 Fi)</t>
  </si>
  <si>
    <t>56.5389.1</t>
  </si>
  <si>
    <t>Microcombi (CMP-BT-TEC HS)</t>
  </si>
  <si>
    <t>060102901323</t>
  </si>
  <si>
    <t>Concejo Municipal de Bariloche</t>
  </si>
  <si>
    <t>Rehau</t>
  </si>
  <si>
    <t>Antea 24 (CE-0051BS3297)</t>
  </si>
  <si>
    <t>5016</t>
  </si>
  <si>
    <t>Facundo</t>
  </si>
  <si>
    <t>Placa de calefactor por aire</t>
  </si>
  <si>
    <t>Westric (Multicontrol)</t>
  </si>
  <si>
    <t>CG-050-GAC1ANS(CC710A-V1,0</t>
  </si>
  <si>
    <t>54-1139-04</t>
  </si>
  <si>
    <t>Javier</t>
  </si>
  <si>
    <t>TV LED 39"</t>
  </si>
  <si>
    <t>39PFG4109 77</t>
  </si>
  <si>
    <t>ZA1A1449002884</t>
  </si>
  <si>
    <t>Sin Reparación</t>
  </si>
  <si>
    <t>80C27104</t>
  </si>
  <si>
    <t>Fuente de alimentación</t>
  </si>
  <si>
    <t>General Electric</t>
  </si>
  <si>
    <t>DS3820PSCB1C1B</t>
  </si>
  <si>
    <t>R24165</t>
  </si>
  <si>
    <t>Placa CPU  HMPJ</t>
  </si>
  <si>
    <t>DS3800HMPJ1A1D</t>
  </si>
  <si>
    <t>0A37A4</t>
  </si>
  <si>
    <t>Ariel (Placa lavarropas)</t>
  </si>
  <si>
    <t>Placa de Lavarropas</t>
  </si>
  <si>
    <t>Appliance Control</t>
  </si>
  <si>
    <t>7722001000</t>
  </si>
  <si>
    <t>529164401293</t>
  </si>
  <si>
    <t>Sin Falla</t>
  </si>
  <si>
    <t>Genius S30 (11600011)</t>
  </si>
  <si>
    <t>DD3V5</t>
  </si>
  <si>
    <t>Neobit Plus (Baxi)</t>
  </si>
  <si>
    <t>Aequator(CS0261F)</t>
  </si>
  <si>
    <t>50056809-001</t>
  </si>
  <si>
    <t>Programador De Llama + bastidor y placa conectores</t>
  </si>
  <si>
    <t>Sit</t>
  </si>
  <si>
    <t>537 ABC</t>
  </si>
  <si>
    <t>17-37-0593</t>
  </si>
  <si>
    <t>Elvis</t>
  </si>
  <si>
    <t>Candy</t>
  </si>
  <si>
    <t>Vita Smart Cvst 810 T(E41052140)</t>
  </si>
  <si>
    <t>41045072</t>
  </si>
  <si>
    <t>Megared</t>
  </si>
  <si>
    <t>PINC-48-5000-OFF-PWM-S</t>
  </si>
  <si>
    <t>92931905104952</t>
  </si>
  <si>
    <t>Coarco BRC</t>
  </si>
  <si>
    <t>Panel de control</t>
  </si>
  <si>
    <t>Olympian</t>
  </si>
  <si>
    <t>Power wizard 1.1 (449-2590-00)</t>
  </si>
  <si>
    <t>1044E724TZ</t>
  </si>
  <si>
    <t>23740</t>
  </si>
  <si>
    <t>C.U.B.A Sede Cerro Catedral</t>
  </si>
  <si>
    <t>Estabilizador de tensión 3000W</t>
  </si>
  <si>
    <t>Lyonn</t>
  </si>
  <si>
    <t>TCA-3000NV</t>
  </si>
  <si>
    <t>918316069300210</t>
  </si>
  <si>
    <t>25477</t>
  </si>
  <si>
    <t>A7422B</t>
  </si>
  <si>
    <t>Controlador de caldera eléctrica</t>
  </si>
  <si>
    <t>Peisa</t>
  </si>
  <si>
    <t>EKCO.LN2</t>
  </si>
  <si>
    <t>01-2016</t>
  </si>
  <si>
    <t>Connie Santana</t>
  </si>
  <si>
    <t>UPS 800W</t>
  </si>
  <si>
    <t>Kaise</t>
  </si>
  <si>
    <t>micro800</t>
  </si>
  <si>
    <t>3100127277D20711300344</t>
  </si>
  <si>
    <t>Ventilador de caldera de condensación</t>
  </si>
  <si>
    <t>NG40</t>
  </si>
  <si>
    <t>195224</t>
  </si>
  <si>
    <t>Placas controladoras de Horno convector</t>
  </si>
  <si>
    <t>Brafh</t>
  </si>
  <si>
    <t>HC-820</t>
  </si>
  <si>
    <t>GAPSR</t>
  </si>
  <si>
    <t>4IT4B</t>
  </si>
  <si>
    <t>Convertec-Energías Renovables Bariloche</t>
  </si>
  <si>
    <t>Inversor / Cargador Solar 1KW</t>
  </si>
  <si>
    <t>Must</t>
  </si>
  <si>
    <t>PV18-1012 VPM</t>
  </si>
  <si>
    <t>VPV181012202103270117</t>
  </si>
  <si>
    <t>Patagonia Clima SAS</t>
  </si>
  <si>
    <t>100-02</t>
  </si>
  <si>
    <t>12517-000OB</t>
  </si>
  <si>
    <t>UPS + Inversor + Cargador</t>
  </si>
  <si>
    <t>Energit</t>
  </si>
  <si>
    <t>UPS-POWER SINE 1500-12</t>
  </si>
  <si>
    <t>EP30001512C201705140009</t>
  </si>
  <si>
    <t>Maxi (Servicios Carlitos)</t>
  </si>
  <si>
    <t>Smart TV 49"</t>
  </si>
  <si>
    <t>Skyworth</t>
  </si>
  <si>
    <t>SW49S6SUG</t>
  </si>
  <si>
    <t>18-99005165-L1</t>
  </si>
  <si>
    <t>Amplificador de audio</t>
  </si>
  <si>
    <t>SKP</t>
  </si>
  <si>
    <t>MAX-320</t>
  </si>
  <si>
    <t>07241400458</t>
  </si>
  <si>
    <t>Placa de Caldera + display</t>
  </si>
  <si>
    <t>BGL 188 - PR00705 V1.5</t>
  </si>
  <si>
    <t>141209657/2022/02/11</t>
  </si>
  <si>
    <t>Panel de Unidad de transferencia automática</t>
  </si>
  <si>
    <t>GenParts TSI</t>
  </si>
  <si>
    <t>A52Z2-H</t>
  </si>
  <si>
    <t>2007A 2140</t>
  </si>
  <si>
    <t>Hotel Llao Llao</t>
  </si>
  <si>
    <t>LS</t>
  </si>
  <si>
    <t>SV075iS5-4NO</t>
  </si>
  <si>
    <t>61110006W0</t>
  </si>
  <si>
    <t>Placa de Caldera</t>
  </si>
  <si>
    <t>LP29B</t>
  </si>
  <si>
    <t>José Groznik</t>
  </si>
  <si>
    <t>Controlador de piscina</t>
  </si>
  <si>
    <t>Hidromotor</t>
  </si>
  <si>
    <t>TK10901C</t>
  </si>
  <si>
    <t>05081364</t>
  </si>
  <si>
    <t>Colegio San Esteban Bariloche</t>
  </si>
  <si>
    <t>Soldadora inverter MIG</t>
  </si>
  <si>
    <t>Hugong Welder</t>
  </si>
  <si>
    <t>MIG 160</t>
  </si>
  <si>
    <t>1OPAV</t>
  </si>
  <si>
    <t>Christian Steverlynck</t>
  </si>
  <si>
    <t>EC2012S076</t>
  </si>
  <si>
    <t>Cerradura electromagnética</t>
  </si>
  <si>
    <t>Zuden</t>
  </si>
  <si>
    <t>ZDL-280</t>
  </si>
  <si>
    <t>334526</t>
  </si>
  <si>
    <t>Arturo Ruiz (Comallo)</t>
  </si>
  <si>
    <t>Probattery</t>
  </si>
  <si>
    <t>FI-600/12-CPB</t>
  </si>
  <si>
    <t>18D02821</t>
  </si>
  <si>
    <t>Inverter 12vdc / 220vac - 500W</t>
  </si>
  <si>
    <t>FIOP-500/12V-LI</t>
  </si>
  <si>
    <t>2350868ARPB</t>
  </si>
  <si>
    <t>Climatizador de piscinas</t>
  </si>
  <si>
    <t>T80</t>
  </si>
  <si>
    <t>Y05W26L154CE124</t>
  </si>
  <si>
    <t>Hugo (Soldadora Inverter)</t>
  </si>
  <si>
    <t>Lincoln</t>
  </si>
  <si>
    <t>Discovery 225</t>
  </si>
  <si>
    <t>DYA26</t>
  </si>
  <si>
    <t>BGL 188</t>
  </si>
  <si>
    <t>153400409</t>
  </si>
  <si>
    <t>E4XX7</t>
  </si>
  <si>
    <t>Esteban (Smart 32)</t>
  </si>
  <si>
    <t>Smart TV 32"</t>
  </si>
  <si>
    <t>Hitachi</t>
  </si>
  <si>
    <t>CDH-LE32SMART17</t>
  </si>
  <si>
    <t>RF1003413086728</t>
  </si>
  <si>
    <t>Rack controlador de maquina de chocolate</t>
  </si>
  <si>
    <t>Trikno</t>
  </si>
  <si>
    <t>KCM ALPHA 12-24-35</t>
  </si>
  <si>
    <t>DPPHZ</t>
  </si>
  <si>
    <t>5/43424</t>
  </si>
  <si>
    <t>Portero Eléctrico</t>
  </si>
  <si>
    <t>Hyundai Telecom</t>
  </si>
  <si>
    <t>HDP-200</t>
  </si>
  <si>
    <t>HK 16100465</t>
  </si>
  <si>
    <t>Mery (soldadora Dogo)</t>
  </si>
  <si>
    <t xml:space="preserve">Soldadora inverter </t>
  </si>
  <si>
    <t>Dogo</t>
  </si>
  <si>
    <t>DogoStar105</t>
  </si>
  <si>
    <t>VC7IC</t>
  </si>
  <si>
    <t>Estabilizador trifásico</t>
  </si>
  <si>
    <t>Trifásico</t>
  </si>
  <si>
    <t>OZI7W</t>
  </si>
  <si>
    <t>Batería De Litio</t>
  </si>
  <si>
    <t>Growatt</t>
  </si>
  <si>
    <t>Hope 4.8l-c1 48v 4800wh 100ah</t>
  </si>
  <si>
    <t>ZJJ021952149031A</t>
  </si>
  <si>
    <t>Daniel (Placa Ariston)</t>
  </si>
  <si>
    <t>AMPC-GAL1 MCU STD MED FF CNW V2</t>
  </si>
  <si>
    <t>3108163L5472</t>
  </si>
  <si>
    <t>4X8HK</t>
  </si>
  <si>
    <t>Andrés Barresi</t>
  </si>
  <si>
    <t>Inversor / Cargador Solar 5KW</t>
  </si>
  <si>
    <t>PV18-5048MS</t>
  </si>
  <si>
    <t>RUNAF</t>
  </si>
  <si>
    <t>Pampa (Loma de la Lata)</t>
  </si>
  <si>
    <t>Placa fuente de cargador de baterías 110VCC</t>
  </si>
  <si>
    <t>Emerson</t>
  </si>
  <si>
    <t>UER 1033</t>
  </si>
  <si>
    <t>055</t>
  </si>
  <si>
    <t>23905</t>
  </si>
  <si>
    <t>Placa Interface Cargador de Baterías 110VDC</t>
  </si>
  <si>
    <t>CRL (6008348)</t>
  </si>
  <si>
    <t>042</t>
  </si>
  <si>
    <t>23906</t>
  </si>
  <si>
    <t>034</t>
  </si>
  <si>
    <t>23907</t>
  </si>
  <si>
    <t>001</t>
  </si>
  <si>
    <t>23908</t>
  </si>
  <si>
    <t>Placa de Mediciones de entrada</t>
  </si>
  <si>
    <t>UIF (6008358)</t>
  </si>
  <si>
    <t>20/2015</t>
  </si>
  <si>
    <t>23913</t>
  </si>
  <si>
    <t>Kniel</t>
  </si>
  <si>
    <t>EXWUI 30.50</t>
  </si>
  <si>
    <t>750-100-00 .13</t>
  </si>
  <si>
    <t>D5YGU</t>
  </si>
  <si>
    <t>Federíco (Soldadora)</t>
  </si>
  <si>
    <t>Soldadora inverter Tig</t>
  </si>
  <si>
    <t>Logus</t>
  </si>
  <si>
    <t>SLT-230</t>
  </si>
  <si>
    <t>8006-404a-181103555</t>
  </si>
  <si>
    <t>E05O195</t>
  </si>
  <si>
    <t>Servytec</t>
  </si>
  <si>
    <t>Placa principal Lavadora industrial</t>
  </si>
  <si>
    <t>Electrolux</t>
  </si>
  <si>
    <t>471898811 (E655)</t>
  </si>
  <si>
    <t>220 263-01 C</t>
  </si>
  <si>
    <t>3 Drivers Turbo Camioneta</t>
  </si>
  <si>
    <t>Toyota</t>
  </si>
  <si>
    <t>89879-71010</t>
  </si>
  <si>
    <t>OCM9L</t>
  </si>
  <si>
    <t>Impresora multifunción</t>
  </si>
  <si>
    <t>Epson</t>
  </si>
  <si>
    <t>L3150</t>
  </si>
  <si>
    <t>X7GQ002451</t>
  </si>
  <si>
    <t>6173</t>
  </si>
  <si>
    <t>Pampa Energía - Pichi Picún Leufú</t>
  </si>
  <si>
    <t>5 Time Counter</t>
  </si>
  <si>
    <t>Omron</t>
  </si>
  <si>
    <t>H7ET-FBV2</t>
  </si>
  <si>
    <t>V5OQ9</t>
  </si>
  <si>
    <t>23959</t>
  </si>
  <si>
    <t>Time Counter</t>
  </si>
  <si>
    <t>H7ET-B</t>
  </si>
  <si>
    <t>QDPXT</t>
  </si>
  <si>
    <t>23960</t>
  </si>
  <si>
    <t>8 Time Counter</t>
  </si>
  <si>
    <t>H7ET-FBV</t>
  </si>
  <si>
    <t>DEWGL</t>
  </si>
  <si>
    <t>23961</t>
  </si>
  <si>
    <t>Eugenio (Grupo Electrógeno)</t>
  </si>
  <si>
    <t>Panel de Grupo electrógeno</t>
  </si>
  <si>
    <t>Generac</t>
  </si>
  <si>
    <t>Evolution 2.0</t>
  </si>
  <si>
    <t>7004956</t>
  </si>
  <si>
    <t>Ezequiel (Grupo Electrógeno)</t>
  </si>
  <si>
    <t>UQH9S</t>
  </si>
  <si>
    <t>Leandro Suaréz</t>
  </si>
  <si>
    <t>Smart TV 65'</t>
  </si>
  <si>
    <t>LG</t>
  </si>
  <si>
    <t>65UJ6320</t>
  </si>
  <si>
    <t>804FUWB06681</t>
  </si>
  <si>
    <t>Daniel (Bari Clima)</t>
  </si>
  <si>
    <t>Hernán Calderas</t>
  </si>
  <si>
    <t>C4U3S</t>
  </si>
  <si>
    <t>Controlador Programable</t>
  </si>
  <si>
    <t>Reivax</t>
  </si>
  <si>
    <t>CPXCan 2.1</t>
  </si>
  <si>
    <t>120033</t>
  </si>
  <si>
    <t>24023</t>
  </si>
  <si>
    <t>SPF5000-ES</t>
  </si>
  <si>
    <t>RKG3B06098</t>
  </si>
  <si>
    <t>Gatillo sísmico triaxial</t>
  </si>
  <si>
    <t>Kinemetrics</t>
  </si>
  <si>
    <t>TS-3A</t>
  </si>
  <si>
    <t>D1CTN</t>
  </si>
  <si>
    <t>Namor (Soldadora inverter)</t>
  </si>
  <si>
    <t>Lusqtoff</t>
  </si>
  <si>
    <t>IRON-250</t>
  </si>
  <si>
    <t>60974-1</t>
  </si>
  <si>
    <t>15 sensores RSI-XXXAAC-420</t>
  </si>
  <si>
    <t>El toroide</t>
  </si>
  <si>
    <t>V8QU0</t>
  </si>
  <si>
    <t>Vendido</t>
  </si>
  <si>
    <t>1 sensor PSI-XXXAAC-420</t>
  </si>
  <si>
    <t>RUK13</t>
  </si>
  <si>
    <t>Daniela (TV Hisense)</t>
  </si>
  <si>
    <t>TV LED 32'</t>
  </si>
  <si>
    <t>Hisense</t>
  </si>
  <si>
    <t>HLE3214RT</t>
  </si>
  <si>
    <t>334EB32016</t>
  </si>
  <si>
    <t>Martín Federico Sosa</t>
  </si>
  <si>
    <t>TTKZC</t>
  </si>
  <si>
    <t>2 Resistencias cerámicas 22 Ohms 20W</t>
  </si>
  <si>
    <t>22 OHMS 20W</t>
  </si>
  <si>
    <t>33LDR</t>
  </si>
  <si>
    <t>17-26-0170</t>
  </si>
  <si>
    <t>Ferroli</t>
  </si>
  <si>
    <t>Fortuna 24</t>
  </si>
  <si>
    <t>1745044724</t>
  </si>
  <si>
    <t>Carlos Zabala</t>
  </si>
  <si>
    <t>Display de caldera BGL188</t>
  </si>
  <si>
    <t>HDLED V1.4</t>
  </si>
  <si>
    <t>110113</t>
  </si>
  <si>
    <t>Lionel (Alicurá)</t>
  </si>
  <si>
    <t>Blitz</t>
  </si>
  <si>
    <t>MMA-185</t>
  </si>
  <si>
    <t>EN60974-1</t>
  </si>
  <si>
    <t>330871-0</t>
  </si>
  <si>
    <t>24083</t>
  </si>
  <si>
    <t>320875-0</t>
  </si>
  <si>
    <t>24084</t>
  </si>
  <si>
    <t>Inverter 24vdc / 220vac - 3000W</t>
  </si>
  <si>
    <t>Voltronic</t>
  </si>
  <si>
    <t>VM-3000</t>
  </si>
  <si>
    <t>92332211100636</t>
  </si>
  <si>
    <t>Joaquín</t>
  </si>
  <si>
    <t>ECO NOVA 24F (CS0301C)</t>
  </si>
  <si>
    <t>50067240-003</t>
  </si>
  <si>
    <t>Lisandro (calderista)</t>
  </si>
  <si>
    <t xml:space="preserve">Placa de Caldera </t>
  </si>
  <si>
    <t>WTNY2</t>
  </si>
  <si>
    <t>Torres (2do 1)</t>
  </si>
  <si>
    <t>TV LED 50´</t>
  </si>
  <si>
    <t>UN50F5000AG</t>
  </si>
  <si>
    <t>C23K38QF301087X</t>
  </si>
  <si>
    <t>AMPC-GAL1 MCU STD ENTRY</t>
  </si>
  <si>
    <t>660050026601</t>
  </si>
  <si>
    <t>Federico Herrera</t>
  </si>
  <si>
    <t>SPF3000TL HVM-24</t>
  </si>
  <si>
    <t>AXE7A220FE</t>
  </si>
  <si>
    <t>Control de Maniobra</t>
  </si>
  <si>
    <t>A6300</t>
  </si>
  <si>
    <t>LUW9H</t>
  </si>
  <si>
    <t>ERDESA SRL (Lavadero Bariloche)</t>
  </si>
  <si>
    <t>Variador de velocidad 15KW</t>
  </si>
  <si>
    <t>Siemens</t>
  </si>
  <si>
    <t>6SE6440-2UD31-5DA1</t>
  </si>
  <si>
    <t>T-A21662000087</t>
  </si>
  <si>
    <t>Malvina Gallardo</t>
  </si>
  <si>
    <t>Inversor 3 KW</t>
  </si>
  <si>
    <t>LTC Electronics</t>
  </si>
  <si>
    <t>P3000-12</t>
  </si>
  <si>
    <t>CMU20</t>
  </si>
  <si>
    <t>UWOYQ</t>
  </si>
  <si>
    <t>Panel Simatic Touch</t>
  </si>
  <si>
    <t>6AV2124-0QC02-0AX0</t>
  </si>
  <si>
    <t>C-F8B38824</t>
  </si>
  <si>
    <t>Diego (Cargador Motocaddy)</t>
  </si>
  <si>
    <t>Cargador de Batería 33,2v 2A</t>
  </si>
  <si>
    <t>Motocaddy</t>
  </si>
  <si>
    <t>LC-2323</t>
  </si>
  <si>
    <t>XUAZ8</t>
  </si>
  <si>
    <t>1803315388</t>
  </si>
  <si>
    <t>PTD8M</t>
  </si>
  <si>
    <t>1/66495</t>
  </si>
  <si>
    <t>A6300V4</t>
  </si>
  <si>
    <t>45142</t>
  </si>
  <si>
    <t>Lisandro (Patagonia Bags)</t>
  </si>
  <si>
    <t>Variador de velocidad 0.75kW</t>
  </si>
  <si>
    <t>GTAKE</t>
  </si>
  <si>
    <t>GK150-2T0.75</t>
  </si>
  <si>
    <t>EB0007G1MH03859-23</t>
  </si>
  <si>
    <t>HAGC27-SM02</t>
  </si>
  <si>
    <t>6324930C</t>
  </si>
  <si>
    <t>P140528-37510071</t>
  </si>
  <si>
    <t>Adriana (Placa clasera)</t>
  </si>
  <si>
    <t>6YKG8</t>
  </si>
  <si>
    <t>Jorge (Frigobar)</t>
  </si>
  <si>
    <t>Frigobar</t>
  </si>
  <si>
    <t>Coolbrand</t>
  </si>
  <si>
    <t>BC50B</t>
  </si>
  <si>
    <t>150722</t>
  </si>
  <si>
    <t>Fuente 230VAC / 24VCC - 5A</t>
  </si>
  <si>
    <t>Finder</t>
  </si>
  <si>
    <t>78.1C.1.230.2404</t>
  </si>
  <si>
    <t>1YWWL</t>
  </si>
  <si>
    <t>Gustavo Calderas</t>
  </si>
  <si>
    <t>IRON-100</t>
  </si>
  <si>
    <t>Emiliano</t>
  </si>
  <si>
    <t>Reflector Led 144W S spectrum</t>
  </si>
  <si>
    <t>Ciclocultivo</t>
  </si>
  <si>
    <t>L144</t>
  </si>
  <si>
    <t>L144U0221032</t>
  </si>
  <si>
    <t>Reflector Led 288W S spectrum</t>
  </si>
  <si>
    <t>Agroled</t>
  </si>
  <si>
    <t>TL6-CL</t>
  </si>
  <si>
    <t>C7QYN</t>
  </si>
  <si>
    <t>1651011525</t>
  </si>
  <si>
    <t>Controlador de llama</t>
  </si>
  <si>
    <t>Brahma</t>
  </si>
  <si>
    <t>37010010 FM11</t>
  </si>
  <si>
    <t>13-07</t>
  </si>
  <si>
    <t>Switch 10/100 De 16 Puertos</t>
  </si>
  <si>
    <t>Microtec</t>
  </si>
  <si>
    <t>SP616R</t>
  </si>
  <si>
    <t>J4712074</t>
  </si>
  <si>
    <t>Controlador de motor 2,5 kW</t>
  </si>
  <si>
    <t>Winterhalter</t>
  </si>
  <si>
    <t>30002834 (769136-09)</t>
  </si>
  <si>
    <t>220713</t>
  </si>
  <si>
    <t>Variador de velocidad 7.5kW</t>
  </si>
  <si>
    <t>Suzhou Inovance Technology</t>
  </si>
  <si>
    <t>MD290T7.5G/11PB</t>
  </si>
  <si>
    <t>0101AA104N900048</t>
  </si>
  <si>
    <t>DEL TURISTA</t>
  </si>
  <si>
    <t>UPS 3.6KW</t>
  </si>
  <si>
    <t>Toshiba</t>
  </si>
  <si>
    <t>1400XL PLUS</t>
  </si>
  <si>
    <t>97203101</t>
  </si>
  <si>
    <t>Controlador de carga MPPT</t>
  </si>
  <si>
    <t>PC18-8015F</t>
  </si>
  <si>
    <t>PC18008015F2020111600023</t>
  </si>
  <si>
    <t>SMRVM</t>
  </si>
  <si>
    <t>Inversor híbrido trifásico 10KW</t>
  </si>
  <si>
    <t>HGI-10K-48</t>
  </si>
  <si>
    <t>96161811100076</t>
  </si>
  <si>
    <t>Camila Frabre León</t>
  </si>
  <si>
    <t>132020</t>
  </si>
  <si>
    <t>CP40</t>
  </si>
  <si>
    <t>VRVNV</t>
  </si>
  <si>
    <t>Leonardo (Gimnasios Neuquén)</t>
  </si>
  <si>
    <t>Variador de velocidad 2.2 kW</t>
  </si>
  <si>
    <t>6SL3211-0AB22-2UA1</t>
  </si>
  <si>
    <t>XAU613-002026</t>
  </si>
  <si>
    <t>Variador de velocidad 2.2kW</t>
  </si>
  <si>
    <t>XAU607-002431</t>
  </si>
  <si>
    <t>Ascensores Patagonia</t>
  </si>
  <si>
    <t>ATV58HD12N4</t>
  </si>
  <si>
    <t>0307000937</t>
  </si>
  <si>
    <t>A6700v2</t>
  </si>
  <si>
    <t>67V2C243315216</t>
  </si>
  <si>
    <t>37AAZ</t>
  </si>
  <si>
    <t>153400514</t>
  </si>
  <si>
    <t>YHR5X</t>
  </si>
  <si>
    <t>Xerox</t>
  </si>
  <si>
    <t>Phaser 3260</t>
  </si>
  <si>
    <t>3380490926</t>
  </si>
  <si>
    <t>John</t>
  </si>
  <si>
    <t>UPS 800 VA</t>
  </si>
  <si>
    <t>APS</t>
  </si>
  <si>
    <t>BV800I-AR</t>
  </si>
  <si>
    <t>9B2143A15558</t>
  </si>
  <si>
    <t>3 Cafeteras Eléctricas de uso comercial</t>
  </si>
  <si>
    <t>Zokin</t>
  </si>
  <si>
    <t>ZJ-150 / 200</t>
  </si>
  <si>
    <t>9K52M</t>
  </si>
  <si>
    <t>Infusionador eléctrico 13,6 lts</t>
  </si>
  <si>
    <t>Sikla</t>
  </si>
  <si>
    <t>CP-16</t>
  </si>
  <si>
    <t>4UA60</t>
  </si>
  <si>
    <t>Placa Controladora de turbina</t>
  </si>
  <si>
    <t>Ebmpapst</t>
  </si>
  <si>
    <t>RG148/1200-3633-010204</t>
  </si>
  <si>
    <t>55667.01691</t>
  </si>
  <si>
    <t>Immergas</t>
  </si>
  <si>
    <t>DIMS09-IM03 (EOLO STAR 24 4E)</t>
  </si>
  <si>
    <t>151220VL2033</t>
  </si>
  <si>
    <t>Héctor Vázquez</t>
  </si>
  <si>
    <t>Variador de velocidad 6,5A</t>
  </si>
  <si>
    <t>CFW080065T3848S0A5Z</t>
  </si>
  <si>
    <t>894171754199</t>
  </si>
  <si>
    <t>92931911100886</t>
  </si>
  <si>
    <t>Placa controladora de turbina</t>
  </si>
  <si>
    <t>Osvaldo</t>
  </si>
  <si>
    <t>Admiral</t>
  </si>
  <si>
    <t>AD32E20</t>
  </si>
  <si>
    <t>QAYADEFN70011E</t>
  </si>
  <si>
    <t>0352000227</t>
  </si>
  <si>
    <t>María Fernanda Bari</t>
  </si>
  <si>
    <t>Smart TV 43"</t>
  </si>
  <si>
    <t>CDH-LE43SMART08</t>
  </si>
  <si>
    <t>RF1001085894886</t>
  </si>
  <si>
    <t>Control de Ignición (Caldera Roca/Baxi G200 Confort)</t>
  </si>
  <si>
    <t>Honeywell</t>
  </si>
  <si>
    <t>S4565AD 1017</t>
  </si>
  <si>
    <t>S85L1</t>
  </si>
  <si>
    <t>Marcelo (Aguas Claras)</t>
  </si>
  <si>
    <t>Generador Solar Integrado</t>
  </si>
  <si>
    <t>Fiasa</t>
  </si>
  <si>
    <t>F1000</t>
  </si>
  <si>
    <t>X45WL</t>
  </si>
  <si>
    <t>Ariel (Soldadoras)</t>
  </si>
  <si>
    <t>Kroner</t>
  </si>
  <si>
    <t>H107</t>
  </si>
  <si>
    <t>PKBR0</t>
  </si>
  <si>
    <t>Soldadora inverter MMA/TIG 300A</t>
  </si>
  <si>
    <t>Fligman</t>
  </si>
  <si>
    <t>Heavy dual 300</t>
  </si>
  <si>
    <t>5ZDKE</t>
  </si>
  <si>
    <t>92931903101708</t>
  </si>
  <si>
    <t>SEG</t>
  </si>
  <si>
    <t>TSI Residencial</t>
  </si>
  <si>
    <t>BZ0T2</t>
  </si>
  <si>
    <t>8/99178</t>
  </si>
  <si>
    <t>Limitador de peso</t>
  </si>
  <si>
    <t>Avaxon</t>
  </si>
  <si>
    <t>Justo</t>
  </si>
  <si>
    <t>XFETK</t>
  </si>
  <si>
    <t>Microondas 20 l 800W</t>
  </si>
  <si>
    <t>Thomas</t>
  </si>
  <si>
    <t>TH-20DM</t>
  </si>
  <si>
    <t>U5512072273</t>
  </si>
  <si>
    <t>Hugo (Inversor Belttt)</t>
  </si>
  <si>
    <t>Inverter 12vdc / 220vac -1000W</t>
  </si>
  <si>
    <t>Belttt</t>
  </si>
  <si>
    <t>BEP1000S12V</t>
  </si>
  <si>
    <t>DD7G202108231113605</t>
  </si>
  <si>
    <t>SPF5000TL HVM</t>
  </si>
  <si>
    <t>XJDAA2607Q</t>
  </si>
  <si>
    <t>Tablero deportivo + controlador + fuente</t>
  </si>
  <si>
    <t>Liveled</t>
  </si>
  <si>
    <t>L2-199</t>
  </si>
  <si>
    <t>UKQGX</t>
  </si>
  <si>
    <t>Club House</t>
  </si>
  <si>
    <t>2/61681</t>
  </si>
  <si>
    <t>Bomberos</t>
  </si>
  <si>
    <t>11/6268</t>
  </si>
  <si>
    <t>Mauro (Calderas)</t>
  </si>
  <si>
    <t>Rehau (Fondital)</t>
  </si>
  <si>
    <t>Antea 24 (OSCHEMOD20)</t>
  </si>
  <si>
    <t>20111218033323298</t>
  </si>
  <si>
    <t>VF5+</t>
  </si>
  <si>
    <t>10/451283</t>
  </si>
  <si>
    <t>UPS 3 KVA</t>
  </si>
  <si>
    <t>APC</t>
  </si>
  <si>
    <t>SURTD3000XLI</t>
  </si>
  <si>
    <t>NS0845003932</t>
  </si>
  <si>
    <t>Guillermo Calderas</t>
  </si>
  <si>
    <t>AMPC-GAL1 MCU STD MED FF C&amp;M</t>
  </si>
  <si>
    <t>091316HG1128</t>
  </si>
  <si>
    <t>1H297</t>
  </si>
  <si>
    <t>Cargador externo para Trotec BG40</t>
  </si>
  <si>
    <t>CA18500</t>
  </si>
  <si>
    <t>SKCHN</t>
  </si>
  <si>
    <t>Control de Puerta</t>
  </si>
  <si>
    <t>5/42782</t>
  </si>
  <si>
    <t>MPQRC</t>
  </si>
  <si>
    <t>011522080102376</t>
  </si>
  <si>
    <t>DLV Ingeniería</t>
  </si>
  <si>
    <t>CT/PT Analyzer</t>
  </si>
  <si>
    <t>HAOMAI</t>
  </si>
  <si>
    <t>CTP 200P</t>
  </si>
  <si>
    <t>CPPF312315</t>
  </si>
  <si>
    <t>24401</t>
  </si>
  <si>
    <t>Miguel Díaz</t>
  </si>
  <si>
    <t>Placa de Central de alarmas 8 zonas</t>
  </si>
  <si>
    <t>X28</t>
  </si>
  <si>
    <t>N16-MPXH</t>
  </si>
  <si>
    <t>965RU</t>
  </si>
  <si>
    <t>Hotel Cacique Inacayal</t>
  </si>
  <si>
    <t>Amplificador de audio 70W</t>
  </si>
  <si>
    <t>Dumont</t>
  </si>
  <si>
    <t>A-570</t>
  </si>
  <si>
    <t>A-5700512051230061</t>
  </si>
  <si>
    <t>Sionika</t>
  </si>
  <si>
    <t>PA-30</t>
  </si>
  <si>
    <t>4AOM5</t>
  </si>
  <si>
    <t>Inversor / Cargador Solar 4KW</t>
  </si>
  <si>
    <t>QMAX</t>
  </si>
  <si>
    <t>QM4048SP-C</t>
  </si>
  <si>
    <t>3141513948</t>
  </si>
  <si>
    <t>Inverter 24vdc / 220vac -2000W</t>
  </si>
  <si>
    <t>HGI-2K-24</t>
  </si>
  <si>
    <t>96111607100079</t>
  </si>
  <si>
    <t>Placa impresora  HP 1102W</t>
  </si>
  <si>
    <t>Yyj5emot</t>
  </si>
  <si>
    <t>Cargador de Batería</t>
  </si>
  <si>
    <t>DHQOF</t>
  </si>
  <si>
    <t>Leandro ( Hotel Edelweiss )</t>
  </si>
  <si>
    <t>Placa de Lavarropas Drean Gold Blue</t>
  </si>
  <si>
    <t>3002995</t>
  </si>
  <si>
    <t>0418113706750</t>
  </si>
  <si>
    <t>Placa de Lavarropas Aurora</t>
  </si>
  <si>
    <t>050UY</t>
  </si>
  <si>
    <t>MC electrónica</t>
  </si>
  <si>
    <t>LC5300</t>
  </si>
  <si>
    <t>3720</t>
  </si>
  <si>
    <t>Placa de Lavarropas Drean Next</t>
  </si>
  <si>
    <t>7722004600</t>
  </si>
  <si>
    <t>0707173038021</t>
  </si>
  <si>
    <t>Placa de lavarropas Drean Unicommand 116</t>
  </si>
  <si>
    <t>1023329</t>
  </si>
  <si>
    <t>1203</t>
  </si>
  <si>
    <t>Display de Lavarropas</t>
  </si>
  <si>
    <t>Bitron</t>
  </si>
  <si>
    <t>30411549</t>
  </si>
  <si>
    <t>115220</t>
  </si>
  <si>
    <t>0418113605605</t>
  </si>
  <si>
    <t>Placa de Lavarropas Drean Blue</t>
  </si>
  <si>
    <t>7722000700</t>
  </si>
  <si>
    <t>0514104301266</t>
  </si>
  <si>
    <t>Placa Display de lavarropas</t>
  </si>
  <si>
    <t>DC9200655E7F5V1307</t>
  </si>
  <si>
    <t>0N1ZU</t>
  </si>
  <si>
    <t>PAMPA ENERGIA S.A. - Central Térmica Loma de la Lata</t>
  </si>
  <si>
    <t>Placa de disparos de variador de velocidad</t>
  </si>
  <si>
    <t>SRD</t>
  </si>
  <si>
    <t>E341686</t>
  </si>
  <si>
    <t>1516</t>
  </si>
  <si>
    <t>24449</t>
  </si>
  <si>
    <t>Arranque Suave 50A</t>
  </si>
  <si>
    <t>ASTAT-BP - QB10058U2AMXS</t>
  </si>
  <si>
    <t>W01664701005</t>
  </si>
  <si>
    <t>24450</t>
  </si>
  <si>
    <t>Analizador de respuesta de frecuencia</t>
  </si>
  <si>
    <t>Tettex</t>
  </si>
  <si>
    <t>FRA2310</t>
  </si>
  <si>
    <t>175081</t>
  </si>
  <si>
    <t>24475</t>
  </si>
  <si>
    <t>Vanesa ( Reflector LED)</t>
  </si>
  <si>
    <t>MARS Optoelectrónica</t>
  </si>
  <si>
    <t>SunFlash 225</t>
  </si>
  <si>
    <t>H0E62</t>
  </si>
  <si>
    <t>Cargador automático Inteligente 12v 30a</t>
  </si>
  <si>
    <t>IC-30-12</t>
  </si>
  <si>
    <t>3J038</t>
  </si>
  <si>
    <t>Inversor 12V 1kW</t>
  </si>
  <si>
    <t>Ecosolar</t>
  </si>
  <si>
    <t>I100012V</t>
  </si>
  <si>
    <t>2ABXH</t>
  </si>
  <si>
    <t>12220500</t>
  </si>
  <si>
    <t>35PYM</t>
  </si>
  <si>
    <t>Hugo Rega</t>
  </si>
  <si>
    <t>Cinta de correr</t>
  </si>
  <si>
    <t>Randers</t>
  </si>
  <si>
    <t>ARG-450</t>
  </si>
  <si>
    <t>7797481000560</t>
  </si>
  <si>
    <t>Matías Menteguiaga</t>
  </si>
  <si>
    <t>nversor / Cargador de baterías 1KW 12V</t>
  </si>
  <si>
    <t>ICM-1000-12</t>
  </si>
  <si>
    <t>C001012E201209240018</t>
  </si>
  <si>
    <t>2015-02-10C0279</t>
  </si>
  <si>
    <t>2016-01-14D000902</t>
  </si>
  <si>
    <t>Relé de seguridad</t>
  </si>
  <si>
    <t>Sick</t>
  </si>
  <si>
    <t>UE45-3S12D3 3</t>
  </si>
  <si>
    <t>6024911</t>
  </si>
  <si>
    <t>Daniel Venturino</t>
  </si>
  <si>
    <t>Placa de heladera</t>
  </si>
  <si>
    <t>Whirlpool</t>
  </si>
  <si>
    <t>WRX48</t>
  </si>
  <si>
    <t>08062-024</t>
  </si>
  <si>
    <t>07828-024</t>
  </si>
  <si>
    <t>Dowen Pagio</t>
  </si>
  <si>
    <t>MMA180</t>
  </si>
  <si>
    <t>9991142</t>
  </si>
  <si>
    <t>Diego Robin</t>
  </si>
  <si>
    <t>Resideo</t>
  </si>
  <si>
    <t>DKG 972-N Mod,03</t>
  </si>
  <si>
    <t>S11321017713</t>
  </si>
  <si>
    <t>DLG 976-N Mod,01</t>
  </si>
  <si>
    <t>S14119006141</t>
  </si>
  <si>
    <t>Hotel Kilton SA</t>
  </si>
  <si>
    <t>Horno /Microondas eléctrico</t>
  </si>
  <si>
    <t>Smeg</t>
  </si>
  <si>
    <t>SF4390MCX</t>
  </si>
  <si>
    <t>15601976031604210103</t>
  </si>
  <si>
    <t>Placa CPU de alarma</t>
  </si>
  <si>
    <t>N32</t>
  </si>
  <si>
    <t>6KKKN</t>
  </si>
  <si>
    <t>Placa Interface de Baterías</t>
  </si>
  <si>
    <t>N32 (IMP20175-36F)</t>
  </si>
  <si>
    <t>N8PO6</t>
  </si>
  <si>
    <t>S11523003351</t>
  </si>
  <si>
    <t>Notebook 15,6"</t>
  </si>
  <si>
    <t>Lenovo</t>
  </si>
  <si>
    <t>ideapad 320 15ikb core i5</t>
  </si>
  <si>
    <t>69AKF</t>
  </si>
  <si>
    <t>15601977022229430103</t>
  </si>
  <si>
    <t>1/40162</t>
  </si>
  <si>
    <t>VP-5000</t>
  </si>
  <si>
    <t>92932103103066</t>
  </si>
  <si>
    <t>Inversor / Cargador de baterías 3KW 12V</t>
  </si>
  <si>
    <t>ICW-3000-12</t>
  </si>
  <si>
    <t>C003012E201603300019</t>
  </si>
  <si>
    <t>92932103103086</t>
  </si>
  <si>
    <t>92931911100869</t>
  </si>
  <si>
    <t>Inversor 12V 600W</t>
  </si>
  <si>
    <t>Ficatto</t>
  </si>
  <si>
    <t>NWR000147 (INV12600W)</t>
  </si>
  <si>
    <t>KS200612083A09790</t>
  </si>
  <si>
    <t>Placa de control de Volumen</t>
  </si>
  <si>
    <t>Biamp</t>
  </si>
  <si>
    <t>A0123005 B</t>
  </si>
  <si>
    <t>I06/0906</t>
  </si>
  <si>
    <t>Cava de vino 6 Botellas</t>
  </si>
  <si>
    <t>Vondom</t>
  </si>
  <si>
    <t>T6</t>
  </si>
  <si>
    <t>FV4U2</t>
  </si>
  <si>
    <t>Slim 1300I</t>
  </si>
  <si>
    <t>0508715050</t>
  </si>
  <si>
    <t>Soluciones Técnicas Bariloche</t>
  </si>
  <si>
    <t>Variador de velocidad Trifásico 10</t>
  </si>
  <si>
    <t>CFW500B10P0T4DB20H00G2</t>
  </si>
  <si>
    <t>1088262711</t>
  </si>
  <si>
    <t>Germán Montero</t>
  </si>
  <si>
    <t>Inverter 24vdc / 220vac - 3200W</t>
  </si>
  <si>
    <t>Huangcom Group</t>
  </si>
  <si>
    <t>HY32222VMII</t>
  </si>
  <si>
    <t>9208720201203007</t>
  </si>
  <si>
    <t>Anafe eléctrico de inducción 3300W</t>
  </si>
  <si>
    <t>NZ60R3703PK</t>
  </si>
  <si>
    <t>B7SL78DT100149K</t>
  </si>
  <si>
    <t>24617</t>
  </si>
  <si>
    <t>92932103103059</t>
  </si>
  <si>
    <t>Lisandro (amplificador guitarra)</t>
  </si>
  <si>
    <t>Amplificador de guitarra</t>
  </si>
  <si>
    <t>Vox (Valvetronix)</t>
  </si>
  <si>
    <t>VT20X</t>
  </si>
  <si>
    <t>V04-078449</t>
  </si>
  <si>
    <t>INVERTER KING 5KW PAR-A</t>
  </si>
  <si>
    <t>92932204101738</t>
  </si>
  <si>
    <t>VVVF5</t>
  </si>
  <si>
    <t>10/57680</t>
  </si>
  <si>
    <t>8/166903</t>
  </si>
  <si>
    <t>Placa Inverter de Lavarropa</t>
  </si>
  <si>
    <t xml:space="preserve">Whirlpool </t>
  </si>
  <si>
    <t>W10877440 (WLF12BW)</t>
  </si>
  <si>
    <t>859200541000</t>
  </si>
  <si>
    <t>9VJRF</t>
  </si>
  <si>
    <t>NAEQ0</t>
  </si>
  <si>
    <t>Marcos (Inversor Giandel)</t>
  </si>
  <si>
    <t>Giandel</t>
  </si>
  <si>
    <t>PS-1000DAR</t>
  </si>
  <si>
    <t>VLS5L</t>
  </si>
  <si>
    <t>Internet</t>
  </si>
  <si>
    <t>EQUIPOS 2024 COBRADOS EN 2025</t>
  </si>
  <si>
    <t>Cant
Rep</t>
  </si>
  <si>
    <t>Cant
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</si>
</sst>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 * #,##0_ ;_ * \-#,##0_ ;_ * &quot;-&quot;??_ ;_ @_ "/>
    <numFmt numFmtId="168" formatCode="[$USD]\ #,##0"/>
    <numFmt numFmtId="169" formatCode="&quot;$&quot;\ #,##0.00"/>
    <numFmt numFmtId="170" formatCode="_ &quot;$&quot;\ * #,##0_ ;_ &quot;$&quot;\ * \-#,##0_ ;_ &quot;$&quot;\ * &quot;-&quot;??_ ;_ @_ "/>
    <numFmt numFmtId="171" formatCode="&quot;$&quot;#,##0"/>
    <numFmt numFmtId="172" formatCode="&quot;$&quot;#,##0;\-&quot;$&quot;#,##0"/>
    <numFmt numFmtId="173" formatCode="\U&quot;$&quot;\ #,##0;\U&quot;$&quot;\ \-#,##0"/>
    <numFmt numFmtId="174" formatCode="_-[$USS]\ * #,##0.00_-;\-[$USS]\ * #,##0.00_-;_-[$USS]\ * &quot;-&quot;??_-;_-@_-"/>
    <numFmt numFmtId="175" formatCode="&quot;$&quot;\ #,##0"/>
    <numFmt numFmtId="176" formatCode="dd/mm/yyyy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0"/>
      <color indexed="4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indexed="8"/>
      <name val="Calibri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2" fillId="0" borderId="0"/>
    <xf numFmtId="168" fontId="2" fillId="0" borderId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0" fontId="3" fillId="0" borderId="0"/>
    <xf numFmtId="168" fontId="2" fillId="0" borderId="0"/>
    <xf numFmtId="166" fontId="4" fillId="0" borderId="0" applyFont="0" applyFill="0" applyBorder="0" applyAlignment="0" applyProtection="0"/>
    <xf numFmtId="168" fontId="2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4" fontId="0" fillId="0" borderId="0" xfId="2" applyFont="1"/>
    <xf numFmtId="3" fontId="0" fillId="0" borderId="0" xfId="0" applyNumberFormat="1"/>
    <xf numFmtId="169" fontId="0" fillId="0" borderId="0" xfId="0" applyNumberFormat="1"/>
    <xf numFmtId="167" fontId="4" fillId="0" borderId="0" xfId="1" applyNumberFormat="1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4" fontId="0" fillId="0" borderId="0" xfId="0" applyNumberFormat="1"/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4" borderId="1" xfId="0" applyFont="1" applyFill="1" applyBorder="1"/>
    <xf numFmtId="0" fontId="7" fillId="0" borderId="0" xfId="0" applyFont="1"/>
    <xf numFmtId="167" fontId="7" fillId="0" borderId="0" xfId="1" applyNumberFormat="1" applyFont="1"/>
    <xf numFmtId="4" fontId="8" fillId="5" borderId="6" xfId="0" applyNumberFormat="1" applyFont="1" applyFill="1" applyBorder="1"/>
    <xf numFmtId="171" fontId="8" fillId="5" borderId="6" xfId="0" applyNumberFormat="1" applyFont="1" applyFill="1" applyBorder="1"/>
    <xf numFmtId="0" fontId="0" fillId="4" borderId="6" xfId="0" applyFill="1" applyBorder="1"/>
    <xf numFmtId="172" fontId="0" fillId="4" borderId="6" xfId="0" applyNumberFormat="1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74" fontId="0" fillId="0" borderId="0" xfId="2" applyNumberFormat="1" applyFont="1" applyAlignment="1">
      <alignment horizontal="center"/>
    </xf>
    <xf numFmtId="0" fontId="10" fillId="2" borderId="2" xfId="0" applyFont="1" applyFill="1" applyBorder="1" applyAlignment="1">
      <alignment horizontal="center" textRotation="90"/>
    </xf>
    <xf numFmtId="0" fontId="11" fillId="2" borderId="2" xfId="0" applyFont="1" applyFill="1" applyBorder="1" applyAlignment="1">
      <alignment horizontal="center" textRotation="90"/>
    </xf>
    <xf numFmtId="169" fontId="10" fillId="2" borderId="2" xfId="0" applyNumberFormat="1" applyFont="1" applyFill="1" applyBorder="1" applyAlignment="1">
      <alignment horizontal="center" textRotation="90"/>
    </xf>
    <xf numFmtId="0" fontId="9" fillId="2" borderId="1" xfId="0" applyFont="1" applyFill="1" applyBorder="1" applyAlignment="1">
      <alignment horizontal="center" vertical="center"/>
    </xf>
    <xf numFmtId="170" fontId="5" fillId="0" borderId="11" xfId="6" applyNumberFormat="1" applyFont="1" applyBorder="1" applyAlignment="1">
      <alignment vertical="center"/>
    </xf>
    <xf numFmtId="170" fontId="6" fillId="0" borderId="11" xfId="6" applyNumberFormat="1" applyFont="1" applyBorder="1" applyAlignment="1">
      <alignment vertical="center"/>
    </xf>
    <xf numFmtId="167" fontId="5" fillId="0" borderId="11" xfId="4" applyNumberFormat="1" applyFont="1" applyBorder="1" applyAlignment="1">
      <alignment vertical="center"/>
    </xf>
    <xf numFmtId="167" fontId="5" fillId="0" borderId="6" xfId="4" applyNumberFormat="1" applyFont="1" applyBorder="1" applyAlignment="1">
      <alignment vertical="center"/>
    </xf>
    <xf numFmtId="167" fontId="5" fillId="3" borderId="1" xfId="4" applyNumberFormat="1" applyFont="1" applyFill="1" applyBorder="1" applyAlignment="1">
      <alignment horizontal="center" vertical="top" wrapText="1"/>
    </xf>
    <xf numFmtId="167" fontId="5" fillId="3" borderId="9" xfId="4" applyNumberFormat="1" applyFont="1" applyFill="1" applyBorder="1" applyAlignment="1">
      <alignment horizontal="center" vertical="top" wrapText="1"/>
    </xf>
    <xf numFmtId="170" fontId="5" fillId="0" borderId="12" xfId="6" applyNumberFormat="1" applyFont="1" applyBorder="1" applyAlignment="1">
      <alignment vertical="center"/>
    </xf>
    <xf numFmtId="167" fontId="5" fillId="0" borderId="8" xfId="4" applyNumberFormat="1" applyFont="1" applyBorder="1" applyAlignment="1">
      <alignment vertical="center"/>
    </xf>
    <xf numFmtId="170" fontId="5" fillId="4" borderId="3" xfId="6" applyNumberFormat="1" applyFont="1" applyFill="1" applyBorder="1"/>
    <xf numFmtId="170" fontId="6" fillId="4" borderId="1" xfId="6" applyNumberFormat="1" applyFont="1" applyFill="1" applyBorder="1"/>
    <xf numFmtId="167" fontId="5" fillId="4" borderId="2" xfId="4" applyNumberFormat="1" applyFont="1" applyFill="1" applyBorder="1" applyAlignment="1">
      <alignment vertical="center"/>
    </xf>
    <xf numFmtId="170" fontId="5" fillId="4" borderId="13" xfId="6" applyNumberFormat="1" applyFont="1" applyFill="1" applyBorder="1" applyAlignment="1">
      <alignment vertical="center"/>
    </xf>
    <xf numFmtId="170" fontId="5" fillId="4" borderId="14" xfId="6" applyNumberFormat="1" applyFont="1" applyFill="1" applyBorder="1" applyAlignment="1">
      <alignment vertical="center"/>
    </xf>
    <xf numFmtId="167" fontId="12" fillId="2" borderId="2" xfId="4" applyNumberFormat="1" applyFont="1" applyFill="1" applyBorder="1" applyAlignment="1">
      <alignment horizontal="center" textRotation="90"/>
    </xf>
    <xf numFmtId="167" fontId="11" fillId="0" borderId="6" xfId="4" applyNumberFormat="1" applyFont="1" applyBorder="1"/>
    <xf numFmtId="167" fontId="11" fillId="0" borderId="8" xfId="4" applyNumberFormat="1" applyFont="1" applyBorder="1"/>
    <xf numFmtId="169" fontId="11" fillId="0" borderId="6" xfId="4" applyNumberFormat="1" applyFont="1" applyBorder="1"/>
    <xf numFmtId="169" fontId="13" fillId="0" borderId="4" xfId="4" applyNumberFormat="1" applyFont="1" applyBorder="1"/>
    <xf numFmtId="169" fontId="11" fillId="0" borderId="8" xfId="4" applyNumberFormat="1" applyFont="1" applyBorder="1"/>
    <xf numFmtId="169" fontId="13" fillId="0" borderId="7" xfId="4" applyNumberFormat="1" applyFont="1" applyBorder="1"/>
    <xf numFmtId="175" fontId="11" fillId="0" borderId="5" xfId="4" applyNumberFormat="1" applyFont="1" applyBorder="1"/>
    <xf numFmtId="175" fontId="11" fillId="0" borderId="6" xfId="4" applyNumberFormat="1" applyFont="1" applyBorder="1"/>
    <xf numFmtId="175" fontId="11" fillId="0" borderId="8" xfId="4" applyNumberFormat="1" applyFont="1" applyBorder="1"/>
    <xf numFmtId="0" fontId="10" fillId="2" borderId="3" xfId="0" applyFont="1" applyFill="1" applyBorder="1" applyAlignment="1">
      <alignment horizontal="center" textRotation="90"/>
    </xf>
    <xf numFmtId="0" fontId="10" fillId="2" borderId="1" xfId="0" applyFont="1" applyFill="1" applyBorder="1" applyAlignment="1">
      <alignment horizontal="center" textRotation="90"/>
    </xf>
    <xf numFmtId="0" fontId="11" fillId="2" borderId="4" xfId="0" applyFont="1" applyFill="1" applyBorder="1"/>
    <xf numFmtId="0" fontId="11" fillId="2" borderId="7" xfId="0" applyFont="1" applyFill="1" applyBorder="1"/>
    <xf numFmtId="3" fontId="9" fillId="0" borderId="1" xfId="0" applyNumberFormat="1" applyFont="1" applyBorder="1"/>
    <xf numFmtId="175" fontId="9" fillId="0" borderId="1" xfId="0" applyNumberFormat="1" applyFont="1" applyBorder="1"/>
    <xf numFmtId="169" fontId="9" fillId="0" borderId="10" xfId="0" applyNumberFormat="1" applyFont="1" applyBorder="1"/>
    <xf numFmtId="169" fontId="9" fillId="0" borderId="1" xfId="0" applyNumberFormat="1" applyFont="1" applyBorder="1"/>
    <xf numFmtId="14" fontId="0" fillId="0" borderId="0" xfId="0" applyNumberFormat="1"/>
    <xf numFmtId="176" fontId="0" fillId="0" borderId="0" xfId="0" applyNumberFormat="1" applyAlignment="1">
      <alignment horizontal="center"/>
    </xf>
    <xf numFmtId="173" fontId="5" fillId="0" borderId="11" xfId="6" applyNumberFormat="1" applyFont="1" applyBorder="1" applyAlignment="1">
      <alignment vertical="center"/>
    </xf>
    <xf numFmtId="9" fontId="0" fillId="0" borderId="1" xfId="0" applyNumberFormat="1" applyBorder="1" applyAlignment="1">
      <alignment horizontal="center"/>
    </xf>
    <xf numFmtId="9" fontId="5" fillId="0" borderId="11" xfId="7" applyFont="1" applyBorder="1" applyAlignment="1">
      <alignment horizontal="center" vertical="center"/>
    </xf>
    <xf numFmtId="9" fontId="5" fillId="0" borderId="6" xfId="7" applyFont="1" applyBorder="1" applyAlignment="1">
      <alignment horizontal="center" vertical="center"/>
    </xf>
    <xf numFmtId="9" fontId="5" fillId="0" borderId="8" xfId="7" applyFont="1" applyBorder="1" applyAlignment="1">
      <alignment horizontal="center" vertical="center"/>
    </xf>
    <xf numFmtId="9" fontId="5" fillId="4" borderId="2" xfId="7" applyFont="1" applyFill="1" applyBorder="1" applyAlignment="1">
      <alignment horizontal="center" vertical="center"/>
    </xf>
    <xf numFmtId="167" fontId="5" fillId="0" borderId="11" xfId="4" applyNumberFormat="1" applyFont="1" applyBorder="1" applyAlignment="1">
      <alignment horizontal="center" vertical="center"/>
    </xf>
    <xf numFmtId="167" fontId="5" fillId="4" borderId="3" xfId="4" applyNumberFormat="1" applyFont="1" applyFill="1" applyBorder="1" applyAlignment="1">
      <alignment horizontal="center"/>
    </xf>
  </cellXfs>
  <cellStyles count="23">
    <cellStyle name="Millares" xfId="1" builtinId="3"/>
    <cellStyle name="Millares [0] 2" xfId="5" xr:uid="{00000000-0005-0000-0000-000001000000}"/>
    <cellStyle name="Millares 2" xfId="4" xr:uid="{00000000-0005-0000-0000-000002000000}"/>
    <cellStyle name="Millares 3" xfId="9" xr:uid="{5014BD57-946C-4CB1-96FB-8A7B815F60A7}"/>
    <cellStyle name="Millares 4" xfId="10" xr:uid="{D89B79C5-EB40-419D-9912-516821C4601F}"/>
    <cellStyle name="Millares 5" xfId="18" xr:uid="{DDFBC36B-10AD-4383-B3DA-60E88FD4CF80}"/>
    <cellStyle name="Millares 6" xfId="20" xr:uid="{82B23ECE-D0AA-47E3-A1CA-4C4F991EA48A}"/>
    <cellStyle name="Millares 7" xfId="21" xr:uid="{18B8532B-71C0-47B5-8899-2D0D6DA4039C}"/>
    <cellStyle name="Millares 8" xfId="22" xr:uid="{5409D64E-2500-4322-8B04-524C2960D965}"/>
    <cellStyle name="Millares 9" xfId="14" xr:uid="{C72123C0-97AA-498B-A022-2BC650833A8E}"/>
    <cellStyle name="Moneda" xfId="2" builtinId="4"/>
    <cellStyle name="Moneda 2" xfId="6" xr:uid="{00000000-0005-0000-0000-000004000000}"/>
    <cellStyle name="Normal" xfId="0" builtinId="0"/>
    <cellStyle name="Normal 2" xfId="3" xr:uid="{00000000-0005-0000-0000-000006000000}"/>
    <cellStyle name="Normal 2 2" xfId="16" xr:uid="{F04FCB19-802A-4A82-9318-4D5F66EDF8F2}"/>
    <cellStyle name="Normal 3" xfId="8" xr:uid="{DC652780-82D9-45F8-8230-6C58FC4DF554}"/>
    <cellStyle name="Normal 4" xfId="11" xr:uid="{C4F03CC1-30E8-4F24-8A49-4FFF0FE80E7A}"/>
    <cellStyle name="Normal 5" xfId="12" xr:uid="{79D0D24E-9036-4A8A-BC8E-7536E545C062}"/>
    <cellStyle name="Normal 6" xfId="17" xr:uid="{B16AC9C4-07C2-4508-846D-90E72EB7902C}"/>
    <cellStyle name="Normal 7" xfId="15" xr:uid="{974FF9A7-E9D5-47C6-A442-8781E0271CC0}"/>
    <cellStyle name="Normal 8" xfId="13" xr:uid="{0049A736-AD41-462E-A41B-67D4835C6D04}"/>
    <cellStyle name="Normal 9" xfId="19" xr:uid="{C98B0699-71FD-47C9-8E20-A867D83F76A6}"/>
    <cellStyle name="Porcentaje 2" xfId="7" xr:uid="{00000000-0005-0000-0000-000007000000}"/>
  </cellStyles>
  <dxfs count="3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&quot;$&quot;\ #,##0.00"/>
    </dxf>
    <dxf>
      <numFmt numFmtId="169" formatCode="&quot;$&quot;\ #,##0.0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4" formatCode="_-[$USS]\ * #,##0.00_-;\-[$USS]\ * #,##0.00_-;_-[$USS]\ * &quot;-&quot;??_-;_-@_-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6" formatCode="dd/mm/yyyy"/>
      <alignment horizontal="center" vertical="bottom" textRotation="0" wrapText="0" indent="0" justifyLastLine="0" shrinkToFit="0" readingOrder="0"/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6"/>
      <tableStyleElement type="headerRow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talle%20gastos%20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talle%20gastos%2020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talle%20gastos%20202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ls\Bariloche\Administracion\Sistema\Excels\Caja%20BRC.xlsx" TargetMode="External"/><Relationship Id="rId1" Type="http://schemas.openxmlformats.org/officeDocument/2006/relationships/externalLinkPath" Target="Caja%20BR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estra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>
        <row r="5">
          <cell r="D5">
            <v>4100</v>
          </cell>
        </row>
        <row r="8">
          <cell r="D8">
            <v>2600</v>
          </cell>
        </row>
        <row r="9">
          <cell r="D9">
            <v>1300</v>
          </cell>
        </row>
        <row r="10">
          <cell r="D10">
            <v>800</v>
          </cell>
        </row>
        <row r="58">
          <cell r="C58">
            <v>13729.76</v>
          </cell>
        </row>
      </sheetData>
      <sheetData sheetId="2">
        <row r="5">
          <cell r="D5">
            <v>6500</v>
          </cell>
        </row>
        <row r="7">
          <cell r="D7">
            <v>215940</v>
          </cell>
        </row>
        <row r="8">
          <cell r="D8">
            <v>2600</v>
          </cell>
        </row>
        <row r="9">
          <cell r="D9">
            <v>2600</v>
          </cell>
        </row>
        <row r="10">
          <cell r="D10">
            <v>800</v>
          </cell>
        </row>
        <row r="58">
          <cell r="C58">
            <v>162908.07</v>
          </cell>
        </row>
      </sheetData>
      <sheetData sheetId="3">
        <row r="5">
          <cell r="D5">
            <v>6500</v>
          </cell>
        </row>
        <row r="7">
          <cell r="D7">
            <v>254810</v>
          </cell>
        </row>
        <row r="8">
          <cell r="D8">
            <v>2600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69024.19</v>
          </cell>
        </row>
      </sheetData>
      <sheetData sheetId="4">
        <row r="5">
          <cell r="D5">
            <v>12350</v>
          </cell>
        </row>
        <row r="7">
          <cell r="D7">
            <v>300700</v>
          </cell>
        </row>
        <row r="8">
          <cell r="D8">
            <v>2600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31252.73</v>
          </cell>
        </row>
      </sheetData>
      <sheetData sheetId="5">
        <row r="5">
          <cell r="D5">
            <v>13215</v>
          </cell>
        </row>
        <row r="7">
          <cell r="D7">
            <v>330740</v>
          </cell>
        </row>
        <row r="8">
          <cell r="D8">
            <v>4700</v>
          </cell>
        </row>
        <row r="9">
          <cell r="D9">
            <v>2600</v>
          </cell>
        </row>
        <row r="10">
          <cell r="D10">
            <v>1600</v>
          </cell>
        </row>
        <row r="60">
          <cell r="C60">
            <v>309378.47000000003</v>
          </cell>
        </row>
      </sheetData>
      <sheetData sheetId="6">
        <row r="5">
          <cell r="D5">
            <v>15000</v>
          </cell>
        </row>
        <row r="7">
          <cell r="D7">
            <v>363810</v>
          </cell>
        </row>
        <row r="8">
          <cell r="D8">
            <v>4700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195581.22999999998</v>
          </cell>
        </row>
      </sheetData>
      <sheetData sheetId="7">
        <row r="5">
          <cell r="D5">
            <v>25000</v>
          </cell>
        </row>
        <row r="7">
          <cell r="D7">
            <v>400200</v>
          </cell>
        </row>
        <row r="8">
          <cell r="D8">
            <v>16500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169177.97</v>
          </cell>
        </row>
      </sheetData>
      <sheetData sheetId="8">
        <row r="5">
          <cell r="D5">
            <v>27500</v>
          </cell>
        </row>
        <row r="7">
          <cell r="D7">
            <v>400200</v>
          </cell>
        </row>
        <row r="8">
          <cell r="D8">
            <v>16500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593043</v>
          </cell>
        </row>
      </sheetData>
      <sheetData sheetId="9">
        <row r="5">
          <cell r="D5">
            <v>33000</v>
          </cell>
        </row>
        <row r="7">
          <cell r="D7">
            <v>400200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353258.95</v>
          </cell>
        </row>
      </sheetData>
      <sheetData sheetId="10">
        <row r="5">
          <cell r="D5">
            <v>33000</v>
          </cell>
        </row>
        <row r="6">
          <cell r="D6">
            <v>12000</v>
          </cell>
        </row>
        <row r="7">
          <cell r="D7">
            <v>400200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1600</v>
          </cell>
        </row>
        <row r="58">
          <cell r="C58">
            <v>304092.08</v>
          </cell>
        </row>
      </sheetData>
      <sheetData sheetId="11">
        <row r="5">
          <cell r="D5">
            <v>33000</v>
          </cell>
        </row>
        <row r="6">
          <cell r="D6">
            <v>12000</v>
          </cell>
        </row>
        <row r="7">
          <cell r="D7">
            <v>412206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2600</v>
          </cell>
        </row>
        <row r="58">
          <cell r="C58">
            <v>264846.26</v>
          </cell>
        </row>
      </sheetData>
      <sheetData sheetId="12">
        <row r="5">
          <cell r="D5">
            <v>35000</v>
          </cell>
        </row>
        <row r="6">
          <cell r="D6">
            <v>12000</v>
          </cell>
        </row>
        <row r="7">
          <cell r="D7">
            <v>861870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2600</v>
          </cell>
        </row>
        <row r="58">
          <cell r="C58">
            <v>55572.73000000001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estra"/>
      <sheetName val="Enero"/>
      <sheetName val="Febrero"/>
      <sheetName val="Marzo"/>
      <sheetName val="Abril"/>
      <sheetName val="Mayo"/>
      <sheetName val="Junio"/>
      <sheetName val="Agosto"/>
      <sheetName val="Juli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estra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>
        <row r="5">
          <cell r="D5">
            <v>36000</v>
          </cell>
        </row>
        <row r="6">
          <cell r="D6">
            <v>13500</v>
          </cell>
        </row>
        <row r="8">
          <cell r="D8">
            <v>19800</v>
          </cell>
        </row>
        <row r="9">
          <cell r="D9">
            <v>2600</v>
          </cell>
        </row>
        <row r="10">
          <cell r="D10">
            <v>3100</v>
          </cell>
        </row>
        <row r="58">
          <cell r="C58">
            <v>325599.20000000007</v>
          </cell>
        </row>
      </sheetData>
      <sheetData sheetId="2">
        <row r="5">
          <cell r="D5">
            <v>36000</v>
          </cell>
        </row>
        <row r="6">
          <cell r="D6">
            <v>13500</v>
          </cell>
        </row>
        <row r="7">
          <cell r="D7">
            <v>444000</v>
          </cell>
        </row>
        <row r="8">
          <cell r="D8">
            <v>19800</v>
          </cell>
        </row>
        <row r="9">
          <cell r="D9">
            <v>5000</v>
          </cell>
        </row>
        <row r="10">
          <cell r="D10">
            <v>3100</v>
          </cell>
        </row>
        <row r="58">
          <cell r="C58">
            <v>79883.809999999969</v>
          </cell>
        </row>
      </sheetData>
      <sheetData sheetId="3">
        <row r="5">
          <cell r="D5">
            <v>39500</v>
          </cell>
        </row>
        <row r="6">
          <cell r="D6">
            <v>13500</v>
          </cell>
        </row>
        <row r="7">
          <cell r="D7">
            <v>451000</v>
          </cell>
        </row>
        <row r="8">
          <cell r="D8">
            <v>16300</v>
          </cell>
        </row>
        <row r="9">
          <cell r="D9">
            <v>5000</v>
          </cell>
        </row>
        <row r="10">
          <cell r="D10">
            <v>3100</v>
          </cell>
        </row>
        <row r="58">
          <cell r="C58">
            <v>84314.89</v>
          </cell>
        </row>
      </sheetData>
      <sheetData sheetId="4">
        <row r="5">
          <cell r="D5">
            <v>39500</v>
          </cell>
        </row>
        <row r="6">
          <cell r="D6">
            <v>14800</v>
          </cell>
        </row>
        <row r="7">
          <cell r="D7">
            <v>458000</v>
          </cell>
        </row>
        <row r="8">
          <cell r="D8">
            <v>16300</v>
          </cell>
        </row>
        <row r="9">
          <cell r="D9">
            <v>5000</v>
          </cell>
        </row>
        <row r="10">
          <cell r="D10">
            <v>3100</v>
          </cell>
        </row>
        <row r="58">
          <cell r="C58">
            <v>188286.97</v>
          </cell>
        </row>
      </sheetData>
      <sheetData sheetId="5"/>
      <sheetData sheetId="6">
        <row r="58">
          <cell r="C58">
            <v>0</v>
          </cell>
        </row>
      </sheetData>
      <sheetData sheetId="7">
        <row r="58">
          <cell r="C58">
            <v>0</v>
          </cell>
        </row>
      </sheetData>
      <sheetData sheetId="8">
        <row r="58">
          <cell r="C58">
            <v>0</v>
          </cell>
        </row>
      </sheetData>
      <sheetData sheetId="9">
        <row r="58">
          <cell r="C58">
            <v>0</v>
          </cell>
        </row>
      </sheetData>
      <sheetData sheetId="10">
        <row r="58">
          <cell r="C58">
            <v>0</v>
          </cell>
        </row>
      </sheetData>
      <sheetData sheetId="11">
        <row r="58">
          <cell r="C58">
            <v>0</v>
          </cell>
        </row>
      </sheetData>
      <sheetData sheetId="12">
        <row r="58">
          <cell r="C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7"/>
      <sheetName val="2018"/>
      <sheetName val="2019"/>
      <sheetName val="2020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00">
          <cell r="P500">
            <v>-1685856.959999999</v>
          </cell>
        </row>
      </sheetData>
      <sheetData sheetId="8">
        <row r="500">
          <cell r="P500">
            <v>6216857.9500000011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reparacionesELS" refreshOnLoad="1" connectionId="1" xr16:uid="{00000000-0016-0000-0000-000000000000}" autoFormatId="16" applyNumberFormats="0" applyBorderFormats="0" applyFontFormats="0" applyPatternFormats="0" applyAlignmentFormats="0" applyWidthHeightFormats="0">
  <queryTableRefresh nextId="77" unboundColumnsRight="7">
    <queryTableFields count="34">
      <queryTableField id="22" name="Fecha de Entrada" tableColumnId="1"/>
      <queryTableField id="2" name="ELS" tableColumnId="2"/>
      <queryTableField id="23" name="Cliente" tableColumnId="3"/>
      <queryTableField id="24" name="Sucursal" tableColumnId="4"/>
      <queryTableField id="25" name="Cliente de Cliente" tableColumnId="5"/>
      <queryTableField id="26" name="Equipo" tableColumnId="6"/>
      <queryTableField id="7" name="Marca" tableColumnId="7"/>
      <queryTableField id="8" name="Modelo" tableColumnId="8"/>
      <queryTableField id="38" name="N Serie" tableColumnId="9"/>
      <queryTableField id="10" name="Aviso" tableColumnId="10"/>
      <queryTableField id="71" name="FECHA DIAGNOSTICO" tableColumnId="35"/>
      <queryTableField id="72" name="FECHA ACEPTACION" tableColumnId="36"/>
      <queryTableField id="30" name="Precio Dolar" tableColumnId="13"/>
      <queryTableField id="31" name="Precio Peso" tableColumnId="14"/>
      <queryTableField id="32" name="Estado Fisico" tableColumnId="15"/>
      <queryTableField id="73" name="ESTADO TECNICO" tableColumnId="37"/>
      <queryTableField id="34" name="Estado Comercial" tableColumnId="17"/>
      <queryTableField id="55" dataBound="0" tableColumnId="22"/>
      <queryTableField id="18" name="Pago" tableColumnId="18"/>
      <queryTableField id="56" dataBound="0" tableColumnId="23"/>
      <queryTableField id="57" dataBound="0" tableColumnId="24"/>
      <queryTableField id="58" dataBound="0" tableColumnId="25"/>
      <queryTableField id="59" dataBound="0" tableColumnId="26"/>
      <queryTableField id="60" dataBound="0" tableColumnId="27"/>
      <queryTableField id="40" name="Tecnico" tableColumnId="19"/>
      <queryTableField id="36" name="OC" tableColumnId="20"/>
      <queryTableField id="37" name="Remito" tableColumnId="21"/>
      <queryTableField id="63" dataBound="0" tableColumnId="29"/>
      <queryTableField id="62" dataBound="0" tableColumnId="28"/>
      <queryTableField id="64" dataBound="0" tableColumnId="30"/>
      <queryTableField id="65" dataBound="0" tableColumnId="31"/>
      <queryTableField id="66" dataBound="0" tableColumnId="32"/>
      <queryTableField id="67" dataBound="0" tableColumnId="33"/>
      <queryTableField id="69" dataBound="0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onsulta_reparacionesELS" displayName="Tabla_Consulta_reparacionesELS" ref="A1:AH289" tableType="queryTable" totalsRowShown="0">
  <autoFilter ref="A1:AH289" xr:uid="{00000000-0009-0000-0100-000001000000}"/>
  <tableColumns count="34">
    <tableColumn id="1" xr3:uid="{00000000-0010-0000-0000-000001000000}" uniqueName="1" name="FECHA DE ENTRADA" queryTableFieldId="22" dataDxfId="22"/>
    <tableColumn id="2" xr3:uid="{00000000-0010-0000-0000-000002000000}" uniqueName="2" name="ELS" queryTableFieldId="2" dataDxfId="21"/>
    <tableColumn id="3" xr3:uid="{00000000-0010-0000-0000-000003000000}" uniqueName="3" name="CLIENTE" queryTableFieldId="23" dataDxfId="20"/>
    <tableColumn id="4" xr3:uid="{00000000-0010-0000-0000-000004000000}" uniqueName="4" name="SUCURSAL" queryTableFieldId="24" dataDxfId="19"/>
    <tableColumn id="5" xr3:uid="{00000000-0010-0000-0000-000005000000}" uniqueName="5" name="CLIENTE DE CLIENTE" queryTableFieldId="25" dataDxfId="18"/>
    <tableColumn id="6" xr3:uid="{00000000-0010-0000-0000-000006000000}" uniqueName="6" name="EQUIPO" queryTableFieldId="26" dataDxfId="17"/>
    <tableColumn id="7" xr3:uid="{00000000-0010-0000-0000-000007000000}" uniqueName="7" name="MARCA" queryTableFieldId="7" dataDxfId="16"/>
    <tableColumn id="8" xr3:uid="{00000000-0010-0000-0000-000008000000}" uniqueName="8" name="MODELO" queryTableFieldId="8" dataDxfId="15"/>
    <tableColumn id="9" xr3:uid="{00000000-0010-0000-0000-000009000000}" uniqueName="9" name="N SERIE" queryTableFieldId="38" dataDxfId="14"/>
    <tableColumn id="10" xr3:uid="{00000000-0010-0000-0000-00000A000000}" uniqueName="10" name="AVISO" queryTableFieldId="10" dataDxfId="13"/>
    <tableColumn id="35" xr3:uid="{00000000-0010-0000-0000-000023000000}" uniqueName="35" name="FECHA DIAGNOSTICO" queryTableFieldId="71" dataDxfId="12"/>
    <tableColumn id="36" xr3:uid="{00000000-0010-0000-0000-000024000000}" uniqueName="36" name="FECHA ACEPTACION" queryTableFieldId="72" dataDxfId="11"/>
    <tableColumn id="13" xr3:uid="{00000000-0010-0000-0000-00000D000000}" uniqueName="13" name="PRECIO DOLAR" queryTableFieldId="30" dataDxfId="10" dataCellStyle="Moneda"/>
    <tableColumn id="14" xr3:uid="{00000000-0010-0000-0000-00000E000000}" uniqueName="14" name="PRECIO PESO" queryTableFieldId="31" dataDxfId="9" dataCellStyle="Moneda"/>
    <tableColumn id="15" xr3:uid="{00000000-0010-0000-0000-00000F000000}" uniqueName="15" name="ESTADO FISICO" queryTableFieldId="32" dataDxfId="8"/>
    <tableColumn id="37" xr3:uid="{00000000-0010-0000-0000-000025000000}" uniqueName="37" name="ESTADO TECNICO" queryTableFieldId="73" dataDxfId="7"/>
    <tableColumn id="17" xr3:uid="{00000000-0010-0000-0000-000011000000}" uniqueName="17" name="ESTADO COMERCIAL" queryTableFieldId="34" dataDxfId="6"/>
    <tableColumn id="22" xr3:uid="{00000000-0010-0000-0000-000016000000}" uniqueName="22" name="VENTA" queryTableFieldId="55" dataDxfId="5" dataCellStyle="Moneda">
      <calculatedColumnFormula>IF(Q2="Aceptado",N2,0)</calculatedColumnFormula>
    </tableColumn>
    <tableColumn id="18" xr3:uid="{00000000-0010-0000-0000-000012000000}" uniqueName="18" name="PAGO" queryTableFieldId="18" dataDxfId="4" dataCellStyle="Moneda"/>
    <tableColumn id="23" xr3:uid="{00000000-0010-0000-0000-000017000000}" uniqueName="23" name="SALDO" queryTableFieldId="56" dataDxfId="3">
      <calculatedColumnFormula>IFERROR(+T1+R2-S2,0)</calculatedColumnFormula>
    </tableColumn>
    <tableColumn id="24" xr3:uid="{00000000-0010-0000-0000-000018000000}" uniqueName="24" name="FACTURA" queryTableFieldId="57"/>
    <tableColumn id="25" xr3:uid="{00000000-0010-0000-0000-000019000000}" uniqueName="25" name="MES REP" queryTableFieldId="58" dataDxfId="34">
      <calculatedColumnFormula>IF(NOT(ISBLANK(K2)),MONTH(K2),"")</calculatedColumnFormula>
    </tableColumn>
    <tableColumn id="26" xr3:uid="{00000000-0010-0000-0000-00001A000000}" uniqueName="26" name="MES ENTR" queryTableFieldId="59" dataDxfId="33">
      <calculatedColumnFormula>IF(NOT(ISBLANK(A2)),MONTH(A2),"")</calculatedColumnFormula>
    </tableColumn>
    <tableColumn id="27" xr3:uid="{00000000-0010-0000-0000-00001B000000}" uniqueName="27" name="SALDO2" queryTableFieldId="60" dataDxfId="2">
      <calculatedColumnFormula>IFERROR(+S2-R2,0)</calculatedColumnFormula>
    </tableColumn>
    <tableColumn id="19" xr3:uid="{00000000-0010-0000-0000-000013000000}" uniqueName="19" name="TECNICO" queryTableFieldId="40" dataDxfId="1"/>
    <tableColumn id="20" xr3:uid="{00000000-0010-0000-0000-000014000000}" uniqueName="20" name="OC" queryTableFieldId="36" dataDxfId="0"/>
    <tableColumn id="21" xr3:uid="{00000000-0010-0000-0000-000015000000}" uniqueName="21" name="REMITO" queryTableFieldId="37"/>
    <tableColumn id="29" xr3:uid="{00000000-0010-0000-0000-00001D000000}" uniqueName="29" name="PRESUPUESTO" queryTableFieldId="63"/>
    <tableColumn id="28" xr3:uid="{00000000-0010-0000-0000-00001C000000}" uniqueName="28" name="AÑO DE REPARACIÓN" queryTableFieldId="62" dataDxfId="32">
      <calculatedColumnFormula>IF(NOT(ISBLANK(K2)),YEAR(K2),"")</calculatedColumnFormula>
    </tableColumn>
    <tableColumn id="30" xr3:uid="{00000000-0010-0000-0000-00001E000000}" uniqueName="30" name="AÑO DE ENTRADA" queryTableFieldId="64" dataDxfId="31">
      <calculatedColumnFormula>IF(NOT(ISBLANK(A2)),YEAR(A2),"")</calculatedColumnFormula>
    </tableColumn>
    <tableColumn id="31" xr3:uid="{00000000-0010-0000-0000-00001F000000}" uniqueName="31" name="AÑO DE ACEP" queryTableFieldId="65" dataDxfId="30">
      <calculatedColumnFormula>IF(NOT(ISBLANK(L2)),YEAR(L2),"")</calculatedColumnFormula>
    </tableColumn>
    <tableColumn id="32" xr3:uid="{00000000-0010-0000-0000-000020000000}" uniqueName="32" name="MES DE ACEP" queryTableFieldId="66" dataDxfId="29">
      <calculatedColumnFormula>IF(NOT(ISBLANK(L2)),MONTH(L2),"")</calculatedColumnFormula>
    </tableColumn>
    <tableColumn id="33" xr3:uid="{00000000-0010-0000-0000-000021000000}" uniqueName="33" name="MES FACTURACIÓN " queryTableFieldId="67"/>
    <tableColumn id="34" xr3:uid="{00000000-0010-0000-0000-000022000000}" uniqueName="34" name="AÑO FACTURACIÓN" queryTableFieldId="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9"/>
  <sheetViews>
    <sheetView topLeftCell="A250" workbookViewId="0">
      <selection activeCell="X266" sqref="X266"/>
    </sheetView>
  </sheetViews>
  <sheetFormatPr baseColWidth="10" defaultRowHeight="15" x14ac:dyDescent="0.25"/>
  <cols>
    <col min="1" max="1" width="23" style="20" bestFit="1" customWidth="1"/>
    <col min="2" max="2" width="8.42578125" style="1" bestFit="1" customWidth="1"/>
    <col min="3" max="3" width="38.140625" style="19" bestFit="1" customWidth="1"/>
    <col min="4" max="4" width="12.5703125" style="19" bestFit="1" customWidth="1"/>
    <col min="5" max="5" width="49.85546875" style="19" bestFit="1" customWidth="1"/>
    <col min="6" max="6" width="48.28515625" style="19" bestFit="1" customWidth="1"/>
    <col min="7" max="7" width="26.85546875" style="19" bestFit="1" customWidth="1"/>
    <col min="8" max="8" width="52.7109375" style="19" bestFit="1" customWidth="1"/>
    <col min="9" max="9" width="25.5703125" style="19" bestFit="1" customWidth="1"/>
    <col min="10" max="10" width="11.140625" style="2" bestFit="1" customWidth="1"/>
    <col min="11" max="11" width="24.42578125" style="20" bestFit="1" customWidth="1"/>
    <col min="12" max="12" width="23.28515625" style="58" bestFit="1" customWidth="1"/>
    <col min="13" max="13" width="19.85546875" style="22" bestFit="1" customWidth="1"/>
    <col min="14" max="14" width="18.42578125" style="21" bestFit="1" customWidth="1"/>
    <col min="15" max="15" width="18.7109375" style="2" bestFit="1" customWidth="1"/>
    <col min="16" max="16" width="23.7109375" bestFit="1" customWidth="1"/>
    <col min="17" max="17" width="23.85546875" style="2" bestFit="1" customWidth="1"/>
    <col min="18" max="19" width="14.5703125" style="21" bestFit="1" customWidth="1"/>
    <col min="20" max="20" width="13.140625" style="5" bestFit="1" customWidth="1"/>
    <col min="21" max="21" width="11.5703125" bestFit="1" customWidth="1"/>
    <col min="22" max="22" width="10.85546875" bestFit="1" customWidth="1"/>
    <col min="23" max="23" width="12.140625" bestFit="1" customWidth="1"/>
    <col min="24" max="24" width="12.28515625" style="5" bestFit="1" customWidth="1"/>
    <col min="25" max="25" width="13.28515625" style="2" bestFit="1" customWidth="1"/>
    <col min="26" max="26" width="8.140625" style="2" bestFit="1" customWidth="1"/>
    <col min="27" max="27" width="10.28515625" bestFit="1" customWidth="1"/>
    <col min="28" max="28" width="16" bestFit="1" customWidth="1"/>
    <col min="29" max="29" width="22.28515625" style="2" bestFit="1" customWidth="1"/>
    <col min="30" max="30" width="19.140625" style="2" bestFit="1" customWidth="1"/>
    <col min="31" max="31" width="15.140625" bestFit="1" customWidth="1"/>
    <col min="32" max="32" width="14.85546875" bestFit="1" customWidth="1"/>
    <col min="33" max="33" width="21" bestFit="1" customWidth="1"/>
    <col min="34" max="34" width="20.85546875" bestFit="1" customWidth="1"/>
    <col min="35" max="35" width="14.85546875" bestFit="1" customWidth="1"/>
    <col min="36" max="36" width="21" bestFit="1" customWidth="1"/>
    <col min="37" max="37" width="20.85546875" bestFit="1" customWidth="1"/>
    <col min="38" max="38" width="13.140625" bestFit="1" customWidth="1"/>
    <col min="39" max="40" width="13.140625" customWidth="1"/>
    <col min="43" max="44" width="9.7109375" customWidth="1"/>
    <col min="46" max="46" width="10" bestFit="1" customWidth="1"/>
    <col min="50" max="50" width="6" bestFit="1" customWidth="1"/>
    <col min="51" max="51" width="9.7109375" bestFit="1" customWidth="1"/>
    <col min="53" max="53" width="15.85546875" bestFit="1" customWidth="1"/>
    <col min="54" max="54" width="10" bestFit="1" customWidth="1"/>
    <col min="55" max="55" width="9.7109375" bestFit="1" customWidth="1"/>
    <col min="56" max="56" width="10.85546875" bestFit="1" customWidth="1"/>
    <col min="57" max="57" width="15.85546875" bestFit="1" customWidth="1"/>
    <col min="58" max="59" width="10" bestFit="1" customWidth="1"/>
    <col min="60" max="60" width="12" bestFit="1" customWidth="1"/>
    <col min="61" max="61" width="6" bestFit="1" customWidth="1"/>
    <col min="62" max="62" width="9.7109375" bestFit="1" customWidth="1"/>
    <col min="63" max="63" width="29" bestFit="1" customWidth="1"/>
    <col min="64" max="64" width="9.140625" bestFit="1" customWidth="1"/>
    <col min="65" max="65" width="10.42578125" bestFit="1" customWidth="1"/>
    <col min="66" max="66" width="17.5703125" bestFit="1" customWidth="1"/>
    <col min="67" max="67" width="8.140625" bestFit="1" customWidth="1"/>
    <col min="68" max="68" width="21.140625" bestFit="1" customWidth="1"/>
    <col min="69" max="69" width="17.28515625" bestFit="1" customWidth="1"/>
    <col min="70" max="70" width="13.5703125" bestFit="1" customWidth="1"/>
    <col min="71" max="71" width="13.140625" bestFit="1" customWidth="1"/>
    <col min="72" max="72" width="14.140625" bestFit="1" customWidth="1"/>
    <col min="73" max="73" width="15.85546875" bestFit="1" customWidth="1"/>
    <col min="74" max="74" width="18" bestFit="1" customWidth="1"/>
    <col min="75" max="75" width="7.5703125" bestFit="1" customWidth="1"/>
    <col min="76" max="76" width="11.28515625" bestFit="1" customWidth="1"/>
    <col min="77" max="77" width="18" bestFit="1" customWidth="1"/>
    <col min="78" max="78" width="22.42578125" bestFit="1" customWidth="1"/>
  </cols>
  <sheetData>
    <row r="1" spans="1:34" x14ac:dyDescent="0.25">
      <c r="A1" s="20" t="s">
        <v>13</v>
      </c>
      <c r="B1" s="2" t="s">
        <v>0</v>
      </c>
      <c r="C1" s="19" t="s">
        <v>14</v>
      </c>
      <c r="D1" s="19" t="s">
        <v>15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2" t="s">
        <v>21</v>
      </c>
      <c r="K1" s="20" t="s">
        <v>22</v>
      </c>
      <c r="L1" s="20" t="s">
        <v>23</v>
      </c>
      <c r="M1" s="22" t="s">
        <v>24</v>
      </c>
      <c r="N1" s="21" t="s">
        <v>25</v>
      </c>
      <c r="O1" s="2" t="s">
        <v>26</v>
      </c>
      <c r="P1" s="2" t="s">
        <v>27</v>
      </c>
      <c r="Q1" s="2" t="s">
        <v>28</v>
      </c>
      <c r="R1" s="21" t="s">
        <v>32</v>
      </c>
      <c r="S1" s="21" t="s">
        <v>29</v>
      </c>
      <c r="T1" s="5" t="s">
        <v>33</v>
      </c>
      <c r="U1" t="s">
        <v>34</v>
      </c>
      <c r="V1" t="s">
        <v>35</v>
      </c>
      <c r="W1" t="s">
        <v>36</v>
      </c>
      <c r="X1" s="5" t="s">
        <v>37</v>
      </c>
      <c r="Y1" s="2" t="s">
        <v>30</v>
      </c>
      <c r="Z1" s="2" t="s">
        <v>7</v>
      </c>
      <c r="AA1" t="s">
        <v>31</v>
      </c>
      <c r="AB1" t="s">
        <v>38</v>
      </c>
      <c r="AC1" t="s">
        <v>8</v>
      </c>
      <c r="AD1" t="s">
        <v>9</v>
      </c>
      <c r="AE1" t="s">
        <v>10</v>
      </c>
      <c r="AF1" t="s">
        <v>123</v>
      </c>
      <c r="AG1" t="s">
        <v>11</v>
      </c>
      <c r="AH1" t="s">
        <v>12</v>
      </c>
    </row>
    <row r="2" spans="1:34" x14ac:dyDescent="0.25">
      <c r="A2" s="20">
        <v>45302.125</v>
      </c>
      <c r="B2" s="2">
        <v>988</v>
      </c>
      <c r="C2" s="19" t="s">
        <v>71</v>
      </c>
      <c r="D2" s="19" t="s">
        <v>2</v>
      </c>
      <c r="E2" s="19" t="s">
        <v>2</v>
      </c>
      <c r="F2" s="19" t="s">
        <v>72</v>
      </c>
      <c r="G2" s="19" t="s">
        <v>73</v>
      </c>
      <c r="H2" s="19" t="s">
        <v>74</v>
      </c>
      <c r="I2" s="19" t="s">
        <v>75</v>
      </c>
      <c r="J2" s="2" t="s">
        <v>2</v>
      </c>
      <c r="K2" s="20">
        <v>45307.125</v>
      </c>
      <c r="L2" s="20">
        <v>45307.125</v>
      </c>
      <c r="M2" s="22">
        <v>21</v>
      </c>
      <c r="N2" s="21">
        <v>21500</v>
      </c>
      <c r="O2" s="2" t="s">
        <v>76</v>
      </c>
      <c r="P2" s="2" t="s">
        <v>4</v>
      </c>
      <c r="Q2" s="2" t="s">
        <v>5</v>
      </c>
      <c r="R2" s="21">
        <f t="shared" ref="R2:R65" si="0">IF(Q2="Aceptado",N2,0)</f>
        <v>21500</v>
      </c>
      <c r="S2" s="21">
        <v>21500</v>
      </c>
      <c r="T2" s="5">
        <f t="shared" ref="T2:T65" si="1">IFERROR(+T1+R2-S2,0)</f>
        <v>0</v>
      </c>
      <c r="V2">
        <f t="shared" ref="V2:V65" si="2">IF(NOT(ISBLANK(K2)),MONTH(K2),"")</f>
        <v>1</v>
      </c>
      <c r="W2">
        <f t="shared" ref="W2:W65" si="3">IF(NOT(ISBLANK(A2)),MONTH(A2),"")</f>
        <v>1</v>
      </c>
      <c r="X2" s="5">
        <f t="shared" ref="X2:X65" si="4">IFERROR(+S2-R2,0)</f>
        <v>0</v>
      </c>
      <c r="Y2" s="2" t="s">
        <v>6</v>
      </c>
      <c r="Z2" s="2" t="s">
        <v>2</v>
      </c>
      <c r="AA2">
        <v>669</v>
      </c>
      <c r="AC2">
        <f t="shared" ref="AC2:AC65" si="5">IF(NOT(ISBLANK(K2)),YEAR(K2),"")</f>
        <v>2024</v>
      </c>
      <c r="AD2">
        <f t="shared" ref="AD2:AD65" si="6">IF(NOT(ISBLANK(A2)),YEAR(A2),"")</f>
        <v>2024</v>
      </c>
      <c r="AE2">
        <f t="shared" ref="AE2:AE65" si="7">IF(NOT(ISBLANK(L2)),YEAR(L2),"")</f>
        <v>2024</v>
      </c>
      <c r="AF2">
        <f t="shared" ref="AF2:AF65" si="8">IF(NOT(ISBLANK(L2)),MONTH(L2),"")</f>
        <v>1</v>
      </c>
    </row>
    <row r="3" spans="1:34" x14ac:dyDescent="0.25">
      <c r="A3" s="20">
        <v>45302</v>
      </c>
      <c r="B3" s="2">
        <v>989</v>
      </c>
      <c r="C3" s="19" t="s">
        <v>71</v>
      </c>
      <c r="D3" s="19" t="s">
        <v>2</v>
      </c>
      <c r="E3" s="19" t="s">
        <v>2</v>
      </c>
      <c r="F3" s="19" t="s">
        <v>72</v>
      </c>
      <c r="G3" s="19" t="s">
        <v>77</v>
      </c>
      <c r="H3" s="19" t="s">
        <v>78</v>
      </c>
      <c r="I3" s="19" t="s">
        <v>79</v>
      </c>
      <c r="J3" s="2" t="s">
        <v>2</v>
      </c>
      <c r="K3" s="20">
        <v>45307</v>
      </c>
      <c r="L3" s="20">
        <v>45307</v>
      </c>
      <c r="M3" s="22">
        <v>49</v>
      </c>
      <c r="N3" s="21">
        <v>49500</v>
      </c>
      <c r="O3" s="2" t="s">
        <v>76</v>
      </c>
      <c r="P3" s="2" t="s">
        <v>4</v>
      </c>
      <c r="Q3" s="2" t="s">
        <v>5</v>
      </c>
      <c r="R3" s="21">
        <f t="shared" si="0"/>
        <v>49500</v>
      </c>
      <c r="S3" s="21">
        <v>49500</v>
      </c>
      <c r="T3" s="5">
        <f t="shared" si="1"/>
        <v>0</v>
      </c>
      <c r="V3">
        <f t="shared" si="2"/>
        <v>1</v>
      </c>
      <c r="W3">
        <f t="shared" si="3"/>
        <v>1</v>
      </c>
      <c r="X3" s="5">
        <f t="shared" si="4"/>
        <v>0</v>
      </c>
      <c r="Y3" s="2" t="s">
        <v>6</v>
      </c>
      <c r="Z3" s="2" t="s">
        <v>2</v>
      </c>
      <c r="AA3">
        <v>669</v>
      </c>
      <c r="AC3">
        <f t="shared" si="5"/>
        <v>2024</v>
      </c>
      <c r="AD3">
        <f t="shared" si="6"/>
        <v>2024</v>
      </c>
      <c r="AE3">
        <f t="shared" si="7"/>
        <v>2024</v>
      </c>
      <c r="AF3">
        <f t="shared" si="8"/>
        <v>1</v>
      </c>
    </row>
    <row r="4" spans="1:34" x14ac:dyDescent="0.25">
      <c r="A4" s="20">
        <v>45302</v>
      </c>
      <c r="B4" s="2">
        <v>990</v>
      </c>
      <c r="C4" s="19" t="s">
        <v>71</v>
      </c>
      <c r="D4" s="19" t="s">
        <v>2</v>
      </c>
      <c r="E4" s="19" t="s">
        <v>2</v>
      </c>
      <c r="F4" s="19" t="s">
        <v>72</v>
      </c>
      <c r="G4" s="19" t="s">
        <v>77</v>
      </c>
      <c r="H4" s="19" t="s">
        <v>80</v>
      </c>
      <c r="I4" s="19" t="s">
        <v>81</v>
      </c>
      <c r="J4" s="2" t="s">
        <v>2</v>
      </c>
      <c r="K4" s="20">
        <v>45307</v>
      </c>
      <c r="L4" s="20">
        <v>45307</v>
      </c>
      <c r="M4" s="22">
        <v>49</v>
      </c>
      <c r="N4" s="21">
        <v>49500</v>
      </c>
      <c r="O4" s="2" t="s">
        <v>76</v>
      </c>
      <c r="P4" s="2" t="s">
        <v>4</v>
      </c>
      <c r="Q4" s="2" t="s">
        <v>5</v>
      </c>
      <c r="R4" s="21">
        <f t="shared" si="0"/>
        <v>49500</v>
      </c>
      <c r="S4" s="21">
        <v>49500</v>
      </c>
      <c r="T4" s="5">
        <f t="shared" si="1"/>
        <v>0</v>
      </c>
      <c r="V4">
        <f t="shared" si="2"/>
        <v>1</v>
      </c>
      <c r="W4">
        <f t="shared" si="3"/>
        <v>1</v>
      </c>
      <c r="X4" s="5">
        <f t="shared" si="4"/>
        <v>0</v>
      </c>
      <c r="Y4" s="2" t="s">
        <v>6</v>
      </c>
      <c r="Z4" s="2" t="s">
        <v>2</v>
      </c>
      <c r="AA4">
        <v>669</v>
      </c>
      <c r="AC4">
        <f t="shared" si="5"/>
        <v>2024</v>
      </c>
      <c r="AD4">
        <f t="shared" si="6"/>
        <v>2024</v>
      </c>
      <c r="AE4">
        <f t="shared" si="7"/>
        <v>2024</v>
      </c>
      <c r="AF4">
        <f t="shared" si="8"/>
        <v>1</v>
      </c>
    </row>
    <row r="5" spans="1:34" x14ac:dyDescent="0.25">
      <c r="A5" s="20">
        <v>45314</v>
      </c>
      <c r="B5" s="2">
        <v>991</v>
      </c>
      <c r="C5" s="19" t="s">
        <v>82</v>
      </c>
      <c r="D5" s="19" t="s">
        <v>2</v>
      </c>
      <c r="E5" s="19" t="s">
        <v>2</v>
      </c>
      <c r="F5" s="19" t="s">
        <v>83</v>
      </c>
      <c r="G5" s="19" t="s">
        <v>84</v>
      </c>
      <c r="H5" s="19" t="s">
        <v>85</v>
      </c>
      <c r="I5" s="19" t="s">
        <v>86</v>
      </c>
      <c r="J5" s="2" t="s">
        <v>2</v>
      </c>
      <c r="K5" s="20">
        <v>45303</v>
      </c>
      <c r="L5" s="20">
        <v>45314</v>
      </c>
      <c r="M5" s="22">
        <v>185</v>
      </c>
      <c r="N5" s="21">
        <v>156500</v>
      </c>
      <c r="O5" s="2" t="s">
        <v>76</v>
      </c>
      <c r="P5" s="2" t="s">
        <v>4</v>
      </c>
      <c r="Q5" s="2" t="s">
        <v>5</v>
      </c>
      <c r="R5" s="21">
        <f t="shared" si="0"/>
        <v>156500</v>
      </c>
      <c r="S5" s="21">
        <v>156500</v>
      </c>
      <c r="T5" s="5">
        <f t="shared" si="1"/>
        <v>0</v>
      </c>
      <c r="V5">
        <f t="shared" si="2"/>
        <v>1</v>
      </c>
      <c r="W5">
        <f t="shared" si="3"/>
        <v>1</v>
      </c>
      <c r="X5" s="5">
        <f t="shared" si="4"/>
        <v>0</v>
      </c>
      <c r="Y5" s="2" t="s">
        <v>6</v>
      </c>
      <c r="Z5" s="2" t="s">
        <v>2</v>
      </c>
      <c r="AA5">
        <v>673</v>
      </c>
      <c r="AC5">
        <f t="shared" si="5"/>
        <v>2024</v>
      </c>
      <c r="AD5">
        <f t="shared" si="6"/>
        <v>2024</v>
      </c>
      <c r="AE5">
        <f t="shared" si="7"/>
        <v>2024</v>
      </c>
      <c r="AF5">
        <f t="shared" si="8"/>
        <v>1</v>
      </c>
    </row>
    <row r="6" spans="1:34" x14ac:dyDescent="0.25">
      <c r="A6" s="20">
        <v>45306</v>
      </c>
      <c r="B6" s="2">
        <v>992</v>
      </c>
      <c r="C6" s="19" t="s">
        <v>537</v>
      </c>
      <c r="D6" s="19" t="s">
        <v>2</v>
      </c>
      <c r="E6" s="19" t="s">
        <v>2</v>
      </c>
      <c r="F6" s="19" t="s">
        <v>87</v>
      </c>
      <c r="G6" s="19" t="s">
        <v>88</v>
      </c>
      <c r="H6" s="19" t="s">
        <v>89</v>
      </c>
      <c r="I6" s="19" t="s">
        <v>90</v>
      </c>
      <c r="J6" s="2" t="s">
        <v>2</v>
      </c>
      <c r="K6" s="20">
        <v>45306</v>
      </c>
      <c r="L6" s="20">
        <v>45307</v>
      </c>
      <c r="M6" s="22">
        <v>160</v>
      </c>
      <c r="N6" s="21">
        <v>140500</v>
      </c>
      <c r="O6" s="2" t="s">
        <v>76</v>
      </c>
      <c r="P6" s="2" t="s">
        <v>4</v>
      </c>
      <c r="Q6" s="2" t="s">
        <v>5</v>
      </c>
      <c r="R6" s="21">
        <f t="shared" si="0"/>
        <v>140500</v>
      </c>
      <c r="S6" s="21">
        <v>140500</v>
      </c>
      <c r="T6" s="5">
        <f t="shared" si="1"/>
        <v>0</v>
      </c>
      <c r="V6">
        <f t="shared" si="2"/>
        <v>1</v>
      </c>
      <c r="W6">
        <f t="shared" si="3"/>
        <v>1</v>
      </c>
      <c r="X6" s="5">
        <f t="shared" si="4"/>
        <v>0</v>
      </c>
      <c r="Y6" s="2" t="s">
        <v>6</v>
      </c>
      <c r="Z6" s="2" t="s">
        <v>2</v>
      </c>
      <c r="AA6">
        <v>668</v>
      </c>
      <c r="AC6">
        <f t="shared" si="5"/>
        <v>2024</v>
      </c>
      <c r="AD6">
        <f t="shared" si="6"/>
        <v>2024</v>
      </c>
      <c r="AE6">
        <f t="shared" si="7"/>
        <v>2024</v>
      </c>
      <c r="AF6">
        <f t="shared" si="8"/>
        <v>1</v>
      </c>
    </row>
    <row r="7" spans="1:34" x14ac:dyDescent="0.25">
      <c r="A7" s="20">
        <v>45306</v>
      </c>
      <c r="B7" s="2">
        <v>993</v>
      </c>
      <c r="C7" s="19" t="s">
        <v>1</v>
      </c>
      <c r="D7" s="19" t="s">
        <v>2</v>
      </c>
      <c r="E7" s="19" t="s">
        <v>2</v>
      </c>
      <c r="F7" s="19" t="s">
        <v>91</v>
      </c>
      <c r="G7" s="19" t="s">
        <v>92</v>
      </c>
      <c r="H7" s="19" t="s">
        <v>93</v>
      </c>
      <c r="I7" s="19" t="s">
        <v>94</v>
      </c>
      <c r="J7" s="2" t="s">
        <v>2</v>
      </c>
      <c r="K7" s="20">
        <v>45307</v>
      </c>
      <c r="L7" s="20">
        <v>45307</v>
      </c>
      <c r="M7" s="22">
        <v>45</v>
      </c>
      <c r="N7" s="21">
        <v>45800</v>
      </c>
      <c r="O7" s="2" t="s">
        <v>76</v>
      </c>
      <c r="P7" s="2" t="s">
        <v>4</v>
      </c>
      <c r="Q7" s="2" t="s">
        <v>5</v>
      </c>
      <c r="R7" s="21">
        <f t="shared" si="0"/>
        <v>45800</v>
      </c>
      <c r="S7" s="21">
        <v>45800</v>
      </c>
      <c r="T7" s="5">
        <f t="shared" si="1"/>
        <v>0</v>
      </c>
      <c r="V7">
        <f t="shared" si="2"/>
        <v>1</v>
      </c>
      <c r="W7">
        <f t="shared" si="3"/>
        <v>1</v>
      </c>
      <c r="X7" s="5">
        <f t="shared" si="4"/>
        <v>0</v>
      </c>
      <c r="Y7" s="2" t="s">
        <v>6</v>
      </c>
      <c r="Z7" s="2" t="s">
        <v>2</v>
      </c>
      <c r="AA7">
        <v>670</v>
      </c>
      <c r="AC7">
        <f t="shared" si="5"/>
        <v>2024</v>
      </c>
      <c r="AD7">
        <f t="shared" si="6"/>
        <v>2024</v>
      </c>
      <c r="AE7">
        <f t="shared" si="7"/>
        <v>2024</v>
      </c>
      <c r="AF7">
        <f t="shared" si="8"/>
        <v>1</v>
      </c>
    </row>
    <row r="8" spans="1:34" x14ac:dyDescent="0.25">
      <c r="A8" s="20">
        <v>45307</v>
      </c>
      <c r="B8" s="2">
        <v>994</v>
      </c>
      <c r="C8" s="19" t="s">
        <v>537</v>
      </c>
      <c r="D8" s="19" t="s">
        <v>2</v>
      </c>
      <c r="E8" s="19" t="s">
        <v>2</v>
      </c>
      <c r="F8" s="19" t="s">
        <v>87</v>
      </c>
      <c r="G8" s="19" t="s">
        <v>95</v>
      </c>
      <c r="H8" s="19" t="s">
        <v>96</v>
      </c>
      <c r="I8" s="19" t="s">
        <v>97</v>
      </c>
      <c r="J8" s="2" t="s">
        <v>2</v>
      </c>
      <c r="K8" s="20">
        <v>45307</v>
      </c>
      <c r="L8" s="20">
        <v>45311</v>
      </c>
      <c r="M8" s="22">
        <v>115</v>
      </c>
      <c r="N8" s="21">
        <v>112500</v>
      </c>
      <c r="O8" s="2" t="s">
        <v>76</v>
      </c>
      <c r="P8" s="2" t="s">
        <v>4</v>
      </c>
      <c r="Q8" s="2" t="s">
        <v>5</v>
      </c>
      <c r="R8" s="21">
        <f t="shared" si="0"/>
        <v>112500</v>
      </c>
      <c r="S8" s="21">
        <v>112500</v>
      </c>
      <c r="T8" s="5">
        <f t="shared" si="1"/>
        <v>0</v>
      </c>
      <c r="V8">
        <f t="shared" si="2"/>
        <v>1</v>
      </c>
      <c r="W8">
        <f t="shared" si="3"/>
        <v>1</v>
      </c>
      <c r="X8" s="5">
        <f t="shared" si="4"/>
        <v>0</v>
      </c>
      <c r="Y8" s="2" t="s">
        <v>6</v>
      </c>
      <c r="Z8" s="2" t="s">
        <v>2</v>
      </c>
      <c r="AA8">
        <v>672</v>
      </c>
      <c r="AC8">
        <f t="shared" si="5"/>
        <v>2024</v>
      </c>
      <c r="AD8">
        <f t="shared" si="6"/>
        <v>2024</v>
      </c>
      <c r="AE8">
        <f t="shared" si="7"/>
        <v>2024</v>
      </c>
      <c r="AF8">
        <f t="shared" si="8"/>
        <v>1</v>
      </c>
    </row>
    <row r="9" spans="1:34" x14ac:dyDescent="0.25">
      <c r="A9" s="20">
        <v>45308</v>
      </c>
      <c r="B9" s="2">
        <v>995</v>
      </c>
      <c r="C9" s="19" t="s">
        <v>99</v>
      </c>
      <c r="D9" s="19" t="s">
        <v>2</v>
      </c>
      <c r="E9" s="19" t="s">
        <v>2</v>
      </c>
      <c r="F9" s="19" t="s">
        <v>100</v>
      </c>
      <c r="G9" s="19" t="s">
        <v>101</v>
      </c>
      <c r="H9" s="19" t="s">
        <v>102</v>
      </c>
      <c r="I9" s="19" t="s">
        <v>103</v>
      </c>
      <c r="J9" s="2" t="s">
        <v>2</v>
      </c>
      <c r="K9" s="20">
        <v>45308</v>
      </c>
      <c r="L9" s="20">
        <v>45338</v>
      </c>
      <c r="M9" s="22">
        <v>300</v>
      </c>
      <c r="N9" s="21">
        <v>256050</v>
      </c>
      <c r="O9" s="2" t="s">
        <v>76</v>
      </c>
      <c r="P9" s="2" t="s">
        <v>4</v>
      </c>
      <c r="Q9" s="2" t="s">
        <v>5</v>
      </c>
      <c r="R9" s="21">
        <f t="shared" si="0"/>
        <v>256050</v>
      </c>
      <c r="S9" s="21">
        <v>256050</v>
      </c>
      <c r="T9" s="5">
        <f t="shared" si="1"/>
        <v>0</v>
      </c>
      <c r="V9">
        <f t="shared" si="2"/>
        <v>1</v>
      </c>
      <c r="W9">
        <f t="shared" si="3"/>
        <v>1</v>
      </c>
      <c r="X9" s="5">
        <f t="shared" si="4"/>
        <v>0</v>
      </c>
      <c r="Y9" s="2" t="s">
        <v>6</v>
      </c>
      <c r="Z9" s="2" t="s">
        <v>2</v>
      </c>
      <c r="AA9">
        <v>682</v>
      </c>
      <c r="AC9">
        <f t="shared" si="5"/>
        <v>2024</v>
      </c>
      <c r="AD9">
        <f t="shared" si="6"/>
        <v>2024</v>
      </c>
      <c r="AE9">
        <f t="shared" si="7"/>
        <v>2024</v>
      </c>
      <c r="AF9">
        <f t="shared" si="8"/>
        <v>2</v>
      </c>
    </row>
    <row r="10" spans="1:34" x14ac:dyDescent="0.25">
      <c r="A10" s="20">
        <v>45314</v>
      </c>
      <c r="B10" s="2">
        <v>996</v>
      </c>
      <c r="C10" s="19" t="s">
        <v>104</v>
      </c>
      <c r="D10" s="19" t="s">
        <v>2</v>
      </c>
      <c r="E10" s="19" t="s">
        <v>2</v>
      </c>
      <c r="F10" s="19" t="s">
        <v>87</v>
      </c>
      <c r="G10" s="19" t="s">
        <v>95</v>
      </c>
      <c r="H10" s="19" t="s">
        <v>105</v>
      </c>
      <c r="I10" s="19" t="s">
        <v>106</v>
      </c>
      <c r="J10" s="2" t="s">
        <v>2</v>
      </c>
      <c r="K10" s="20">
        <v>45308</v>
      </c>
      <c r="L10" s="20">
        <v>45324</v>
      </c>
      <c r="M10" s="22">
        <v>129</v>
      </c>
      <c r="N10" s="21">
        <v>110000</v>
      </c>
      <c r="O10" s="2" t="s">
        <v>76</v>
      </c>
      <c r="P10" s="2" t="s">
        <v>4</v>
      </c>
      <c r="Q10" s="2" t="s">
        <v>5</v>
      </c>
      <c r="R10" s="21">
        <f t="shared" si="0"/>
        <v>110000</v>
      </c>
      <c r="S10" s="21">
        <v>110000</v>
      </c>
      <c r="T10" s="5">
        <f t="shared" si="1"/>
        <v>0</v>
      </c>
      <c r="V10">
        <f t="shared" si="2"/>
        <v>1</v>
      </c>
      <c r="W10">
        <f t="shared" si="3"/>
        <v>1</v>
      </c>
      <c r="X10" s="5">
        <f t="shared" si="4"/>
        <v>0</v>
      </c>
      <c r="Y10" s="2" t="s">
        <v>6</v>
      </c>
      <c r="Z10" s="2" t="s">
        <v>2</v>
      </c>
      <c r="AA10">
        <v>671</v>
      </c>
      <c r="AC10">
        <f t="shared" si="5"/>
        <v>2024</v>
      </c>
      <c r="AD10">
        <f t="shared" si="6"/>
        <v>2024</v>
      </c>
      <c r="AE10">
        <f t="shared" si="7"/>
        <v>2024</v>
      </c>
      <c r="AF10">
        <f t="shared" si="8"/>
        <v>2</v>
      </c>
    </row>
    <row r="11" spans="1:34" x14ac:dyDescent="0.25">
      <c r="A11" s="20">
        <v>45309</v>
      </c>
      <c r="B11" s="2">
        <v>997</v>
      </c>
      <c r="C11" s="19" t="s">
        <v>82</v>
      </c>
      <c r="D11" s="19" t="s">
        <v>2</v>
      </c>
      <c r="E11" s="19" t="s">
        <v>2</v>
      </c>
      <c r="F11" s="19" t="s">
        <v>107</v>
      </c>
      <c r="G11" s="19" t="s">
        <v>108</v>
      </c>
      <c r="H11" s="19" t="s">
        <v>109</v>
      </c>
      <c r="I11" s="19" t="s">
        <v>110</v>
      </c>
      <c r="J11" s="2" t="s">
        <v>2</v>
      </c>
      <c r="K11" s="20">
        <v>45309</v>
      </c>
      <c r="L11" s="20"/>
      <c r="M11" s="22">
        <v>680</v>
      </c>
      <c r="N11" s="21">
        <v>571880</v>
      </c>
      <c r="O11" s="2" t="s">
        <v>3</v>
      </c>
      <c r="P11" s="2" t="s">
        <v>4</v>
      </c>
      <c r="Q11" s="2" t="s">
        <v>98</v>
      </c>
      <c r="R11" s="21">
        <f t="shared" si="0"/>
        <v>0</v>
      </c>
      <c r="S11" s="21">
        <v>0</v>
      </c>
      <c r="T11" s="5">
        <f t="shared" si="1"/>
        <v>0</v>
      </c>
      <c r="V11">
        <f t="shared" si="2"/>
        <v>1</v>
      </c>
      <c r="W11">
        <f t="shared" si="3"/>
        <v>1</v>
      </c>
      <c r="X11" s="5">
        <f t="shared" si="4"/>
        <v>0</v>
      </c>
      <c r="Y11" s="2" t="s">
        <v>6</v>
      </c>
      <c r="Z11" s="2" t="s">
        <v>2</v>
      </c>
      <c r="AC11">
        <f t="shared" si="5"/>
        <v>2024</v>
      </c>
      <c r="AD11">
        <f t="shared" si="6"/>
        <v>2024</v>
      </c>
      <c r="AE11" t="str">
        <f t="shared" si="7"/>
        <v/>
      </c>
      <c r="AF11" t="str">
        <f t="shared" si="8"/>
        <v/>
      </c>
    </row>
    <row r="12" spans="1:34" x14ac:dyDescent="0.25">
      <c r="A12" s="20">
        <v>45309</v>
      </c>
      <c r="B12" s="2">
        <v>998</v>
      </c>
      <c r="C12" s="19" t="s">
        <v>82</v>
      </c>
      <c r="D12" s="19" t="s">
        <v>2</v>
      </c>
      <c r="E12" s="19" t="s">
        <v>2</v>
      </c>
      <c r="F12" s="19" t="s">
        <v>83</v>
      </c>
      <c r="G12" s="19" t="s">
        <v>84</v>
      </c>
      <c r="H12" s="19" t="s">
        <v>85</v>
      </c>
      <c r="I12" s="19" t="s">
        <v>111</v>
      </c>
      <c r="J12" s="2" t="s">
        <v>2</v>
      </c>
      <c r="K12" s="20">
        <v>45309</v>
      </c>
      <c r="L12" s="20"/>
      <c r="M12" s="22">
        <v>171</v>
      </c>
      <c r="N12" s="21">
        <v>143500</v>
      </c>
      <c r="O12" s="2" t="s">
        <v>3</v>
      </c>
      <c r="P12" s="2" t="s">
        <v>4</v>
      </c>
      <c r="Q12" s="2" t="s">
        <v>98</v>
      </c>
      <c r="R12" s="21">
        <f t="shared" si="0"/>
        <v>0</v>
      </c>
      <c r="S12" s="21">
        <v>0</v>
      </c>
      <c r="T12" s="5">
        <f t="shared" si="1"/>
        <v>0</v>
      </c>
      <c r="V12">
        <f t="shared" si="2"/>
        <v>1</v>
      </c>
      <c r="W12">
        <f t="shared" si="3"/>
        <v>1</v>
      </c>
      <c r="X12" s="5">
        <f t="shared" si="4"/>
        <v>0</v>
      </c>
      <c r="Y12" s="2" t="s">
        <v>6</v>
      </c>
      <c r="Z12" s="2" t="s">
        <v>2</v>
      </c>
      <c r="AC12">
        <f t="shared" si="5"/>
        <v>2024</v>
      </c>
      <c r="AD12">
        <f t="shared" si="6"/>
        <v>2024</v>
      </c>
      <c r="AE12" t="str">
        <f t="shared" si="7"/>
        <v/>
      </c>
      <c r="AF12" t="str">
        <f t="shared" si="8"/>
        <v/>
      </c>
    </row>
    <row r="13" spans="1:34" x14ac:dyDescent="0.25">
      <c r="A13" s="20">
        <v>45310.125</v>
      </c>
      <c r="B13" s="2">
        <v>999</v>
      </c>
      <c r="C13" s="19" t="s">
        <v>0</v>
      </c>
      <c r="D13" s="19" t="s">
        <v>112</v>
      </c>
      <c r="E13" s="19" t="s">
        <v>2</v>
      </c>
      <c r="F13" s="19" t="s">
        <v>113</v>
      </c>
      <c r="G13" s="19" t="s">
        <v>114</v>
      </c>
      <c r="H13" s="19" t="s">
        <v>115</v>
      </c>
      <c r="I13" s="19" t="s">
        <v>116</v>
      </c>
      <c r="J13" s="2" t="s">
        <v>2</v>
      </c>
      <c r="K13" s="20">
        <v>45310.125</v>
      </c>
      <c r="L13" s="20">
        <v>45323.125</v>
      </c>
      <c r="M13" s="22">
        <v>1100</v>
      </c>
      <c r="N13" s="21">
        <v>952807</v>
      </c>
      <c r="O13" s="2" t="s">
        <v>76</v>
      </c>
      <c r="P13" s="2" t="s">
        <v>4</v>
      </c>
      <c r="Q13" s="2" t="s">
        <v>5</v>
      </c>
      <c r="R13" s="21">
        <f t="shared" si="0"/>
        <v>952807</v>
      </c>
      <c r="S13" s="21">
        <v>952807</v>
      </c>
      <c r="T13" s="5">
        <f t="shared" si="1"/>
        <v>0</v>
      </c>
      <c r="V13">
        <f t="shared" si="2"/>
        <v>1</v>
      </c>
      <c r="W13">
        <f t="shared" si="3"/>
        <v>1</v>
      </c>
      <c r="X13" s="5">
        <f t="shared" si="4"/>
        <v>0</v>
      </c>
      <c r="Y13" s="2" t="s">
        <v>6</v>
      </c>
      <c r="Z13" s="2" t="s">
        <v>2</v>
      </c>
      <c r="AC13">
        <f t="shared" si="5"/>
        <v>2024</v>
      </c>
      <c r="AD13">
        <f t="shared" si="6"/>
        <v>2024</v>
      </c>
      <c r="AE13">
        <f t="shared" si="7"/>
        <v>2024</v>
      </c>
      <c r="AF13">
        <f t="shared" si="8"/>
        <v>2</v>
      </c>
    </row>
    <row r="14" spans="1:34" x14ac:dyDescent="0.25">
      <c r="A14" s="20">
        <v>45310</v>
      </c>
      <c r="B14" s="2">
        <v>1000</v>
      </c>
      <c r="C14" s="19" t="s">
        <v>99</v>
      </c>
      <c r="D14" s="19" t="s">
        <v>2</v>
      </c>
      <c r="E14" s="19" t="s">
        <v>2</v>
      </c>
      <c r="F14" s="19" t="s">
        <v>117</v>
      </c>
      <c r="G14" s="19" t="s">
        <v>118</v>
      </c>
      <c r="H14" s="19" t="s">
        <v>119</v>
      </c>
      <c r="I14" s="19" t="s">
        <v>120</v>
      </c>
      <c r="J14" s="2" t="s">
        <v>2</v>
      </c>
      <c r="K14" s="20">
        <v>45314</v>
      </c>
      <c r="L14" s="20">
        <v>45314</v>
      </c>
      <c r="M14" s="22">
        <v>129</v>
      </c>
      <c r="N14" s="21">
        <v>108500</v>
      </c>
      <c r="O14" s="2" t="s">
        <v>76</v>
      </c>
      <c r="P14" s="2" t="s">
        <v>4</v>
      </c>
      <c r="Q14" s="2" t="s">
        <v>5</v>
      </c>
      <c r="R14" s="21">
        <f t="shared" si="0"/>
        <v>108500</v>
      </c>
      <c r="S14" s="21">
        <v>108500</v>
      </c>
      <c r="T14" s="5">
        <f t="shared" si="1"/>
        <v>0</v>
      </c>
      <c r="V14">
        <f t="shared" si="2"/>
        <v>1</v>
      </c>
      <c r="W14">
        <f t="shared" si="3"/>
        <v>1</v>
      </c>
      <c r="X14" s="5">
        <f t="shared" si="4"/>
        <v>0</v>
      </c>
      <c r="Y14" s="2" t="s">
        <v>6</v>
      </c>
      <c r="Z14" s="2" t="s">
        <v>2</v>
      </c>
      <c r="AA14">
        <v>674</v>
      </c>
      <c r="AC14">
        <f t="shared" si="5"/>
        <v>2024</v>
      </c>
      <c r="AD14">
        <f t="shared" si="6"/>
        <v>2024</v>
      </c>
      <c r="AE14">
        <f t="shared" si="7"/>
        <v>2024</v>
      </c>
      <c r="AF14">
        <f t="shared" si="8"/>
        <v>1</v>
      </c>
    </row>
    <row r="15" spans="1:34" x14ac:dyDescent="0.25">
      <c r="A15" s="20">
        <v>45316</v>
      </c>
      <c r="B15" s="2">
        <v>1001</v>
      </c>
      <c r="C15" s="19" t="s">
        <v>1</v>
      </c>
      <c r="D15" s="19" t="s">
        <v>2</v>
      </c>
      <c r="E15" s="19" t="s">
        <v>2</v>
      </c>
      <c r="F15" s="19" t="s">
        <v>125</v>
      </c>
      <c r="G15" s="19" t="s">
        <v>126</v>
      </c>
      <c r="H15" s="19" t="s">
        <v>127</v>
      </c>
      <c r="I15" s="19" t="s">
        <v>128</v>
      </c>
      <c r="J15" s="2" t="s">
        <v>2</v>
      </c>
      <c r="K15" s="20">
        <v>45317</v>
      </c>
      <c r="L15" s="20">
        <v>45328</v>
      </c>
      <c r="M15" s="22">
        <v>1250</v>
      </c>
      <c r="N15" s="21">
        <v>1052812</v>
      </c>
      <c r="O15" s="2" t="s">
        <v>76</v>
      </c>
      <c r="P15" s="2" t="s">
        <v>146</v>
      </c>
      <c r="Q15" s="2" t="s">
        <v>147</v>
      </c>
      <c r="R15" s="21">
        <f t="shared" si="0"/>
        <v>0</v>
      </c>
      <c r="S15" s="21">
        <v>0</v>
      </c>
      <c r="T15" s="5">
        <f t="shared" si="1"/>
        <v>0</v>
      </c>
      <c r="V15">
        <f t="shared" si="2"/>
        <v>1</v>
      </c>
      <c r="W15">
        <f t="shared" si="3"/>
        <v>1</v>
      </c>
      <c r="X15" s="5">
        <f t="shared" si="4"/>
        <v>0</v>
      </c>
      <c r="Y15" s="2" t="s">
        <v>6</v>
      </c>
      <c r="Z15" s="2" t="s">
        <v>2</v>
      </c>
      <c r="AC15">
        <f t="shared" si="5"/>
        <v>2024</v>
      </c>
      <c r="AD15">
        <f t="shared" si="6"/>
        <v>2024</v>
      </c>
      <c r="AE15">
        <f t="shared" si="7"/>
        <v>2024</v>
      </c>
      <c r="AF15">
        <f t="shared" si="8"/>
        <v>2</v>
      </c>
    </row>
    <row r="16" spans="1:34" x14ac:dyDescent="0.25">
      <c r="A16" s="20">
        <v>45317</v>
      </c>
      <c r="B16" s="2">
        <v>1002</v>
      </c>
      <c r="C16" s="19" t="s">
        <v>130</v>
      </c>
      <c r="D16" s="19" t="s">
        <v>2</v>
      </c>
      <c r="E16" s="19" t="s">
        <v>2</v>
      </c>
      <c r="F16" s="19" t="s">
        <v>131</v>
      </c>
      <c r="G16" s="19" t="s">
        <v>132</v>
      </c>
      <c r="H16" s="19" t="s">
        <v>133</v>
      </c>
      <c r="I16" s="19" t="s">
        <v>134</v>
      </c>
      <c r="J16" s="2" t="s">
        <v>2</v>
      </c>
      <c r="K16" s="20">
        <v>45337</v>
      </c>
      <c r="L16" s="20">
        <v>45328</v>
      </c>
      <c r="M16" s="22">
        <v>336</v>
      </c>
      <c r="N16" s="21">
        <v>285000</v>
      </c>
      <c r="O16" s="2" t="s">
        <v>76</v>
      </c>
      <c r="P16" s="2" t="s">
        <v>4</v>
      </c>
      <c r="Q16" s="2" t="s">
        <v>5</v>
      </c>
      <c r="R16" s="21">
        <f t="shared" si="0"/>
        <v>285000</v>
      </c>
      <c r="S16" s="21">
        <v>285000</v>
      </c>
      <c r="T16" s="5">
        <f t="shared" si="1"/>
        <v>0</v>
      </c>
      <c r="V16">
        <f t="shared" si="2"/>
        <v>2</v>
      </c>
      <c r="W16">
        <f t="shared" si="3"/>
        <v>1</v>
      </c>
      <c r="X16" s="5">
        <f t="shared" si="4"/>
        <v>0</v>
      </c>
      <c r="Y16" s="2" t="s">
        <v>6</v>
      </c>
      <c r="Z16" s="2" t="s">
        <v>2</v>
      </c>
      <c r="AA16">
        <v>683</v>
      </c>
      <c r="AC16">
        <f t="shared" si="5"/>
        <v>2024</v>
      </c>
      <c r="AD16">
        <f t="shared" si="6"/>
        <v>2024</v>
      </c>
      <c r="AE16">
        <f t="shared" si="7"/>
        <v>2024</v>
      </c>
      <c r="AF16">
        <f t="shared" si="8"/>
        <v>2</v>
      </c>
    </row>
    <row r="17" spans="1:32" x14ac:dyDescent="0.25">
      <c r="A17" s="20">
        <v>45316</v>
      </c>
      <c r="B17" s="2">
        <v>1003</v>
      </c>
      <c r="C17" s="19" t="s">
        <v>136</v>
      </c>
      <c r="D17" s="19" t="s">
        <v>2</v>
      </c>
      <c r="E17" s="19" t="s">
        <v>2</v>
      </c>
      <c r="F17" s="19" t="s">
        <v>137</v>
      </c>
      <c r="G17" s="19" t="s">
        <v>138</v>
      </c>
      <c r="H17" s="19" t="s">
        <v>139</v>
      </c>
      <c r="I17" s="19" t="s">
        <v>140</v>
      </c>
      <c r="J17" s="2" t="s">
        <v>2</v>
      </c>
      <c r="K17" s="20">
        <v>45317</v>
      </c>
      <c r="L17" s="20">
        <v>45317</v>
      </c>
      <c r="M17" s="22">
        <v>125</v>
      </c>
      <c r="N17" s="21">
        <v>105250</v>
      </c>
      <c r="O17" s="2" t="s">
        <v>76</v>
      </c>
      <c r="P17" s="2" t="s">
        <v>4</v>
      </c>
      <c r="Q17" s="2" t="s">
        <v>5</v>
      </c>
      <c r="R17" s="21">
        <f t="shared" si="0"/>
        <v>105250</v>
      </c>
      <c r="S17" s="21">
        <v>105250</v>
      </c>
      <c r="T17" s="5">
        <f t="shared" si="1"/>
        <v>0</v>
      </c>
      <c r="V17">
        <f t="shared" si="2"/>
        <v>1</v>
      </c>
      <c r="W17">
        <f t="shared" si="3"/>
        <v>1</v>
      </c>
      <c r="X17" s="5">
        <f t="shared" si="4"/>
        <v>0</v>
      </c>
      <c r="Y17" s="2" t="s">
        <v>6</v>
      </c>
      <c r="Z17" s="2" t="s">
        <v>2</v>
      </c>
      <c r="AA17">
        <v>676</v>
      </c>
      <c r="AC17">
        <f t="shared" si="5"/>
        <v>2024</v>
      </c>
      <c r="AD17">
        <f t="shared" si="6"/>
        <v>2024</v>
      </c>
      <c r="AE17">
        <f t="shared" si="7"/>
        <v>2024</v>
      </c>
      <c r="AF17">
        <f t="shared" si="8"/>
        <v>1</v>
      </c>
    </row>
    <row r="18" spans="1:32" x14ac:dyDescent="0.25">
      <c r="A18" s="20">
        <v>45317</v>
      </c>
      <c r="B18" s="2">
        <v>1004</v>
      </c>
      <c r="C18" s="19" t="s">
        <v>82</v>
      </c>
      <c r="D18" s="19" t="s">
        <v>2</v>
      </c>
      <c r="E18" s="19" t="s">
        <v>2</v>
      </c>
      <c r="F18" s="19" t="s">
        <v>141</v>
      </c>
      <c r="G18" s="19" t="s">
        <v>142</v>
      </c>
      <c r="H18" s="19" t="s">
        <v>143</v>
      </c>
      <c r="I18" s="19" t="s">
        <v>144</v>
      </c>
      <c r="J18" s="2" t="s">
        <v>2</v>
      </c>
      <c r="K18" s="20">
        <v>45322</v>
      </c>
      <c r="L18" s="20">
        <v>45318</v>
      </c>
      <c r="M18" s="22">
        <v>100</v>
      </c>
      <c r="N18" s="21">
        <v>84500</v>
      </c>
      <c r="O18" s="2" t="s">
        <v>76</v>
      </c>
      <c r="P18" s="2" t="s">
        <v>4</v>
      </c>
      <c r="Q18" s="2" t="s">
        <v>5</v>
      </c>
      <c r="R18" s="21">
        <f t="shared" si="0"/>
        <v>84500</v>
      </c>
      <c r="S18" s="21">
        <v>84500</v>
      </c>
      <c r="T18" s="5">
        <f t="shared" si="1"/>
        <v>0</v>
      </c>
      <c r="V18">
        <f t="shared" si="2"/>
        <v>1</v>
      </c>
      <c r="W18">
        <f t="shared" si="3"/>
        <v>1</v>
      </c>
      <c r="X18" s="5">
        <f t="shared" si="4"/>
        <v>0</v>
      </c>
      <c r="Y18" s="2" t="s">
        <v>6</v>
      </c>
      <c r="Z18" s="2" t="s">
        <v>2</v>
      </c>
      <c r="AA18">
        <v>675</v>
      </c>
      <c r="AC18">
        <f t="shared" si="5"/>
        <v>2024</v>
      </c>
      <c r="AD18">
        <f t="shared" si="6"/>
        <v>2024</v>
      </c>
      <c r="AE18">
        <f t="shared" si="7"/>
        <v>2024</v>
      </c>
      <c r="AF18">
        <f t="shared" si="8"/>
        <v>1</v>
      </c>
    </row>
    <row r="19" spans="1:32" x14ac:dyDescent="0.25">
      <c r="A19" s="20">
        <v>45321</v>
      </c>
      <c r="B19" s="2">
        <v>1005</v>
      </c>
      <c r="C19" s="19" t="s">
        <v>148</v>
      </c>
      <c r="D19" s="19" t="s">
        <v>2</v>
      </c>
      <c r="E19" s="19" t="s">
        <v>2</v>
      </c>
      <c r="F19" s="19" t="s">
        <v>149</v>
      </c>
      <c r="G19" s="19" t="s">
        <v>150</v>
      </c>
      <c r="H19" s="19" t="s">
        <v>151</v>
      </c>
      <c r="I19" s="19" t="s">
        <v>152</v>
      </c>
      <c r="J19" s="2" t="s">
        <v>2</v>
      </c>
      <c r="K19" s="20">
        <v>45323</v>
      </c>
      <c r="L19" s="20">
        <v>45323</v>
      </c>
      <c r="M19" s="22">
        <v>67</v>
      </c>
      <c r="N19" s="21">
        <v>56800</v>
      </c>
      <c r="O19" s="2" t="s">
        <v>76</v>
      </c>
      <c r="P19" s="2" t="s">
        <v>4</v>
      </c>
      <c r="Q19" s="2" t="s">
        <v>5</v>
      </c>
      <c r="R19" s="21">
        <f t="shared" si="0"/>
        <v>56800</v>
      </c>
      <c r="S19" s="21">
        <v>56800</v>
      </c>
      <c r="T19" s="5">
        <f t="shared" si="1"/>
        <v>0</v>
      </c>
      <c r="V19">
        <f t="shared" si="2"/>
        <v>2</v>
      </c>
      <c r="W19">
        <f t="shared" si="3"/>
        <v>1</v>
      </c>
      <c r="X19" s="5">
        <f t="shared" si="4"/>
        <v>0</v>
      </c>
      <c r="Y19" s="2" t="s">
        <v>6</v>
      </c>
      <c r="Z19" s="2" t="s">
        <v>2</v>
      </c>
      <c r="AA19">
        <v>679</v>
      </c>
      <c r="AC19">
        <f t="shared" si="5"/>
        <v>2024</v>
      </c>
      <c r="AD19">
        <f t="shared" si="6"/>
        <v>2024</v>
      </c>
      <c r="AE19">
        <f t="shared" si="7"/>
        <v>2024</v>
      </c>
      <c r="AF19">
        <f t="shared" si="8"/>
        <v>2</v>
      </c>
    </row>
    <row r="20" spans="1:32" x14ac:dyDescent="0.25">
      <c r="A20" s="20">
        <v>45323</v>
      </c>
      <c r="B20" s="2">
        <v>1006</v>
      </c>
      <c r="C20" s="19" t="s">
        <v>537</v>
      </c>
      <c r="D20" s="19" t="s">
        <v>2</v>
      </c>
      <c r="E20" s="19" t="s">
        <v>2</v>
      </c>
      <c r="F20" s="19" t="s">
        <v>87</v>
      </c>
      <c r="G20" s="19" t="s">
        <v>153</v>
      </c>
      <c r="H20" s="19" t="s">
        <v>154</v>
      </c>
      <c r="I20" s="19" t="s">
        <v>155</v>
      </c>
      <c r="J20" s="2" t="s">
        <v>2</v>
      </c>
      <c r="K20" s="20">
        <v>45323</v>
      </c>
      <c r="L20" s="20">
        <v>45327</v>
      </c>
      <c r="M20" s="22">
        <v>175</v>
      </c>
      <c r="N20" s="21">
        <v>147500</v>
      </c>
      <c r="O20" s="2" t="s">
        <v>76</v>
      </c>
      <c r="P20" s="2" t="s">
        <v>4</v>
      </c>
      <c r="Q20" s="2" t="s">
        <v>5</v>
      </c>
      <c r="R20" s="21">
        <f t="shared" si="0"/>
        <v>147500</v>
      </c>
      <c r="S20" s="21">
        <v>147500</v>
      </c>
      <c r="T20" s="5">
        <f t="shared" si="1"/>
        <v>0</v>
      </c>
      <c r="V20">
        <f t="shared" si="2"/>
        <v>2</v>
      </c>
      <c r="W20">
        <f t="shared" si="3"/>
        <v>2</v>
      </c>
      <c r="X20" s="5">
        <f t="shared" si="4"/>
        <v>0</v>
      </c>
      <c r="Y20" s="2" t="s">
        <v>6</v>
      </c>
      <c r="Z20" s="2" t="s">
        <v>2</v>
      </c>
      <c r="AA20">
        <v>677</v>
      </c>
      <c r="AC20">
        <f t="shared" si="5"/>
        <v>2024</v>
      </c>
      <c r="AD20">
        <f t="shared" si="6"/>
        <v>2024</v>
      </c>
      <c r="AE20">
        <f t="shared" si="7"/>
        <v>2024</v>
      </c>
      <c r="AF20">
        <f t="shared" si="8"/>
        <v>2</v>
      </c>
    </row>
    <row r="21" spans="1:32" x14ac:dyDescent="0.25">
      <c r="A21" s="20">
        <v>45323</v>
      </c>
      <c r="B21" s="2">
        <v>1007</v>
      </c>
      <c r="C21" s="19" t="s">
        <v>537</v>
      </c>
      <c r="D21" s="19" t="s">
        <v>2</v>
      </c>
      <c r="E21" s="19" t="s">
        <v>2</v>
      </c>
      <c r="F21" s="19" t="s">
        <v>87</v>
      </c>
      <c r="G21" s="19" t="s">
        <v>153</v>
      </c>
      <c r="H21" s="19" t="s">
        <v>154</v>
      </c>
      <c r="I21" s="19" t="s">
        <v>156</v>
      </c>
      <c r="J21" s="2" t="s">
        <v>2</v>
      </c>
      <c r="L21" s="20"/>
      <c r="M21" s="22">
        <v>0</v>
      </c>
      <c r="N21" s="21">
        <v>0</v>
      </c>
      <c r="O21" s="2" t="s">
        <v>3</v>
      </c>
      <c r="P21" s="2" t="s">
        <v>135</v>
      </c>
      <c r="Q21" s="2" t="s">
        <v>98</v>
      </c>
      <c r="R21" s="21">
        <f t="shared" si="0"/>
        <v>0</v>
      </c>
      <c r="S21" s="21">
        <v>0</v>
      </c>
      <c r="T21" s="5">
        <f t="shared" si="1"/>
        <v>0</v>
      </c>
      <c r="V21" t="str">
        <f t="shared" si="2"/>
        <v/>
      </c>
      <c r="W21">
        <f t="shared" si="3"/>
        <v>2</v>
      </c>
      <c r="X21" s="5">
        <f t="shared" si="4"/>
        <v>0</v>
      </c>
      <c r="Y21" s="2" t="s">
        <v>2</v>
      </c>
      <c r="Z21" s="2" t="s">
        <v>2</v>
      </c>
      <c r="AC21" t="str">
        <f t="shared" si="5"/>
        <v/>
      </c>
      <c r="AD21">
        <f t="shared" si="6"/>
        <v>2024</v>
      </c>
      <c r="AE21" t="str">
        <f t="shared" si="7"/>
        <v/>
      </c>
      <c r="AF21" t="str">
        <f t="shared" si="8"/>
        <v/>
      </c>
    </row>
    <row r="22" spans="1:32" x14ac:dyDescent="0.25">
      <c r="A22" s="20">
        <v>45324</v>
      </c>
      <c r="B22" s="2">
        <v>1008</v>
      </c>
      <c r="C22" s="19" t="s">
        <v>157</v>
      </c>
      <c r="D22" s="19" t="s">
        <v>2</v>
      </c>
      <c r="E22" s="19" t="s">
        <v>2</v>
      </c>
      <c r="F22" s="19" t="s">
        <v>158</v>
      </c>
      <c r="G22" s="19" t="s">
        <v>159</v>
      </c>
      <c r="H22" s="19" t="s">
        <v>160</v>
      </c>
      <c r="I22" s="19" t="s">
        <v>161</v>
      </c>
      <c r="J22" s="2" t="s">
        <v>2</v>
      </c>
      <c r="K22" s="20">
        <v>45338</v>
      </c>
      <c r="L22" s="20">
        <v>45328</v>
      </c>
      <c r="M22" s="22">
        <v>197.5</v>
      </c>
      <c r="N22" s="21">
        <v>167500</v>
      </c>
      <c r="O22" s="2" t="s">
        <v>76</v>
      </c>
      <c r="P22" s="2" t="s">
        <v>4</v>
      </c>
      <c r="Q22" s="2" t="s">
        <v>5</v>
      </c>
      <c r="R22" s="21">
        <f t="shared" si="0"/>
        <v>167500</v>
      </c>
      <c r="S22" s="21">
        <v>167500</v>
      </c>
      <c r="T22" s="5">
        <f t="shared" si="1"/>
        <v>0</v>
      </c>
      <c r="V22">
        <f t="shared" si="2"/>
        <v>2</v>
      </c>
      <c r="W22">
        <f t="shared" si="3"/>
        <v>2</v>
      </c>
      <c r="X22" s="5">
        <f t="shared" si="4"/>
        <v>0</v>
      </c>
      <c r="Y22" s="2" t="s">
        <v>6</v>
      </c>
      <c r="Z22" s="2" t="s">
        <v>2</v>
      </c>
      <c r="AA22">
        <v>681</v>
      </c>
      <c r="AC22">
        <f t="shared" si="5"/>
        <v>2024</v>
      </c>
      <c r="AD22">
        <f t="shared" si="6"/>
        <v>2024</v>
      </c>
      <c r="AE22">
        <f t="shared" si="7"/>
        <v>2024</v>
      </c>
      <c r="AF22">
        <f t="shared" si="8"/>
        <v>2</v>
      </c>
    </row>
    <row r="23" spans="1:32" x14ac:dyDescent="0.25">
      <c r="A23" s="20">
        <v>45329</v>
      </c>
      <c r="B23" s="2">
        <v>1009</v>
      </c>
      <c r="C23" s="19" t="s">
        <v>162</v>
      </c>
      <c r="D23" s="19" t="s">
        <v>2</v>
      </c>
      <c r="E23" s="19" t="s">
        <v>2</v>
      </c>
      <c r="F23" s="19" t="s">
        <v>163</v>
      </c>
      <c r="G23" s="19" t="s">
        <v>164</v>
      </c>
      <c r="H23" s="19" t="s">
        <v>165</v>
      </c>
      <c r="I23" s="19" t="s">
        <v>166</v>
      </c>
      <c r="J23" s="2" t="s">
        <v>167</v>
      </c>
      <c r="K23" s="20">
        <v>45329</v>
      </c>
      <c r="L23" s="20">
        <v>45329</v>
      </c>
      <c r="M23" s="22">
        <v>70</v>
      </c>
      <c r="N23" s="21">
        <v>60000</v>
      </c>
      <c r="O23" s="2" t="s">
        <v>76</v>
      </c>
      <c r="P23" s="2" t="s">
        <v>4</v>
      </c>
      <c r="Q23" s="2" t="s">
        <v>5</v>
      </c>
      <c r="R23" s="21">
        <f t="shared" si="0"/>
        <v>60000</v>
      </c>
      <c r="S23" s="21">
        <v>60000</v>
      </c>
      <c r="T23" s="5">
        <f t="shared" si="1"/>
        <v>0</v>
      </c>
      <c r="V23">
        <f t="shared" si="2"/>
        <v>2</v>
      </c>
      <c r="W23">
        <f t="shared" si="3"/>
        <v>2</v>
      </c>
      <c r="X23" s="5">
        <f t="shared" si="4"/>
        <v>0</v>
      </c>
      <c r="Y23" s="2" t="s">
        <v>6</v>
      </c>
      <c r="Z23" s="2" t="s">
        <v>2</v>
      </c>
      <c r="AA23">
        <v>678</v>
      </c>
      <c r="AC23">
        <f t="shared" si="5"/>
        <v>2024</v>
      </c>
      <c r="AD23">
        <f t="shared" si="6"/>
        <v>2024</v>
      </c>
      <c r="AE23">
        <f t="shared" si="7"/>
        <v>2024</v>
      </c>
      <c r="AF23">
        <f t="shared" si="8"/>
        <v>2</v>
      </c>
    </row>
    <row r="24" spans="1:32" x14ac:dyDescent="0.25">
      <c r="A24" s="20">
        <v>45331</v>
      </c>
      <c r="B24" s="2">
        <v>1010</v>
      </c>
      <c r="C24" s="19" t="s">
        <v>1</v>
      </c>
      <c r="D24" s="19" t="s">
        <v>2</v>
      </c>
      <c r="E24" s="19" t="s">
        <v>2</v>
      </c>
      <c r="F24" s="19" t="s">
        <v>168</v>
      </c>
      <c r="G24" s="19" t="s">
        <v>126</v>
      </c>
      <c r="H24" s="19" t="s">
        <v>169</v>
      </c>
      <c r="I24" s="19" t="s">
        <v>170</v>
      </c>
      <c r="J24" s="2" t="s">
        <v>2</v>
      </c>
      <c r="K24" s="20">
        <v>45349</v>
      </c>
      <c r="L24" s="20">
        <v>45334</v>
      </c>
      <c r="M24" s="22">
        <v>490</v>
      </c>
      <c r="N24" s="21">
        <v>416500</v>
      </c>
      <c r="O24" s="2" t="s">
        <v>76</v>
      </c>
      <c r="P24" s="2" t="s">
        <v>4</v>
      </c>
      <c r="Q24" s="2" t="s">
        <v>5</v>
      </c>
      <c r="R24" s="21">
        <f t="shared" si="0"/>
        <v>416500</v>
      </c>
      <c r="S24" s="21">
        <v>416500</v>
      </c>
      <c r="T24" s="5">
        <f t="shared" si="1"/>
        <v>0</v>
      </c>
      <c r="V24">
        <f t="shared" si="2"/>
        <v>2</v>
      </c>
      <c r="W24">
        <f t="shared" si="3"/>
        <v>2</v>
      </c>
      <c r="X24" s="5">
        <f t="shared" si="4"/>
        <v>0</v>
      </c>
      <c r="Y24" s="2" t="s">
        <v>6</v>
      </c>
      <c r="Z24" s="2" t="s">
        <v>2</v>
      </c>
      <c r="AA24">
        <v>688</v>
      </c>
      <c r="AC24">
        <f t="shared" si="5"/>
        <v>2024</v>
      </c>
      <c r="AD24">
        <f t="shared" si="6"/>
        <v>2024</v>
      </c>
      <c r="AE24">
        <f t="shared" si="7"/>
        <v>2024</v>
      </c>
      <c r="AF24">
        <f t="shared" si="8"/>
        <v>2</v>
      </c>
    </row>
    <row r="25" spans="1:32" x14ac:dyDescent="0.25">
      <c r="A25" s="20">
        <v>45334</v>
      </c>
      <c r="B25" s="2">
        <v>1011</v>
      </c>
      <c r="C25" s="19" t="s">
        <v>130</v>
      </c>
      <c r="D25" s="19" t="s">
        <v>2</v>
      </c>
      <c r="E25" s="19" t="s">
        <v>2</v>
      </c>
      <c r="F25" s="19" t="s">
        <v>171</v>
      </c>
      <c r="G25" s="19" t="s">
        <v>172</v>
      </c>
      <c r="H25" s="19" t="s">
        <v>173</v>
      </c>
      <c r="I25" s="19" t="s">
        <v>174</v>
      </c>
      <c r="J25" s="2" t="s">
        <v>2</v>
      </c>
      <c r="K25" s="20">
        <v>45335</v>
      </c>
      <c r="L25" s="20">
        <v>45334</v>
      </c>
      <c r="M25" s="22">
        <v>90</v>
      </c>
      <c r="N25" s="21">
        <v>76320</v>
      </c>
      <c r="O25" s="2" t="s">
        <v>76</v>
      </c>
      <c r="P25" s="2" t="s">
        <v>4</v>
      </c>
      <c r="Q25" s="2" t="s">
        <v>5</v>
      </c>
      <c r="R25" s="21">
        <f t="shared" si="0"/>
        <v>76320</v>
      </c>
      <c r="S25" s="21">
        <v>76320</v>
      </c>
      <c r="T25" s="5">
        <f t="shared" si="1"/>
        <v>0</v>
      </c>
      <c r="V25">
        <f t="shared" si="2"/>
        <v>2</v>
      </c>
      <c r="W25">
        <f t="shared" si="3"/>
        <v>2</v>
      </c>
      <c r="X25" s="5">
        <f t="shared" si="4"/>
        <v>0</v>
      </c>
      <c r="Y25" s="2" t="s">
        <v>6</v>
      </c>
      <c r="Z25" s="2" t="s">
        <v>2</v>
      </c>
      <c r="AA25">
        <v>680</v>
      </c>
      <c r="AC25">
        <f t="shared" si="5"/>
        <v>2024</v>
      </c>
      <c r="AD25">
        <f t="shared" si="6"/>
        <v>2024</v>
      </c>
      <c r="AE25">
        <f t="shared" si="7"/>
        <v>2024</v>
      </c>
      <c r="AF25">
        <f t="shared" si="8"/>
        <v>2</v>
      </c>
    </row>
    <row r="26" spans="1:32" x14ac:dyDescent="0.25">
      <c r="A26" s="20">
        <v>45334</v>
      </c>
      <c r="B26" s="2">
        <v>1012</v>
      </c>
      <c r="C26" s="19" t="s">
        <v>130</v>
      </c>
      <c r="D26" s="19" t="s">
        <v>2</v>
      </c>
      <c r="E26" s="19" t="s">
        <v>2</v>
      </c>
      <c r="F26" s="19" t="s">
        <v>171</v>
      </c>
      <c r="G26" s="19" t="s">
        <v>175</v>
      </c>
      <c r="H26" s="19" t="s">
        <v>173</v>
      </c>
      <c r="I26" s="19" t="s">
        <v>176</v>
      </c>
      <c r="J26" s="2" t="s">
        <v>2</v>
      </c>
      <c r="K26" s="20">
        <v>45334</v>
      </c>
      <c r="L26" s="20">
        <v>45334</v>
      </c>
      <c r="M26" s="22">
        <v>90</v>
      </c>
      <c r="N26" s="21">
        <v>76320</v>
      </c>
      <c r="O26" s="2" t="s">
        <v>76</v>
      </c>
      <c r="P26" s="2" t="s">
        <v>4</v>
      </c>
      <c r="Q26" s="2" t="s">
        <v>5</v>
      </c>
      <c r="R26" s="21">
        <f t="shared" si="0"/>
        <v>76320</v>
      </c>
      <c r="S26" s="21">
        <v>76320</v>
      </c>
      <c r="T26" s="5">
        <f t="shared" si="1"/>
        <v>0</v>
      </c>
      <c r="V26">
        <f t="shared" si="2"/>
        <v>2</v>
      </c>
      <c r="W26">
        <f t="shared" si="3"/>
        <v>2</v>
      </c>
      <c r="X26" s="5">
        <f t="shared" si="4"/>
        <v>0</v>
      </c>
      <c r="Y26" s="2" t="s">
        <v>6</v>
      </c>
      <c r="Z26" s="2" t="s">
        <v>2</v>
      </c>
      <c r="AA26">
        <v>680</v>
      </c>
      <c r="AC26">
        <f t="shared" si="5"/>
        <v>2024</v>
      </c>
      <c r="AD26">
        <f t="shared" si="6"/>
        <v>2024</v>
      </c>
      <c r="AE26">
        <f t="shared" si="7"/>
        <v>2024</v>
      </c>
      <c r="AF26">
        <f t="shared" si="8"/>
        <v>2</v>
      </c>
    </row>
    <row r="27" spans="1:32" x14ac:dyDescent="0.25">
      <c r="A27" s="20">
        <v>45335</v>
      </c>
      <c r="B27" s="2">
        <v>1013</v>
      </c>
      <c r="C27" s="19" t="s">
        <v>162</v>
      </c>
      <c r="D27" s="19" t="s">
        <v>2</v>
      </c>
      <c r="E27" s="19" t="s">
        <v>2</v>
      </c>
      <c r="F27" s="19" t="s">
        <v>177</v>
      </c>
      <c r="G27" s="19" t="s">
        <v>178</v>
      </c>
      <c r="H27" s="19" t="s">
        <v>179</v>
      </c>
      <c r="I27" s="19" t="s">
        <v>180</v>
      </c>
      <c r="J27" s="2" t="s">
        <v>2</v>
      </c>
      <c r="K27" s="20">
        <v>45335</v>
      </c>
      <c r="L27" s="20">
        <v>45343</v>
      </c>
      <c r="M27" s="22">
        <v>135</v>
      </c>
      <c r="N27" s="21">
        <v>115500</v>
      </c>
      <c r="O27" s="2" t="s">
        <v>76</v>
      </c>
      <c r="P27" s="2" t="s">
        <v>4</v>
      </c>
      <c r="Q27" s="2" t="s">
        <v>5</v>
      </c>
      <c r="R27" s="21">
        <f t="shared" si="0"/>
        <v>115500</v>
      </c>
      <c r="S27" s="21">
        <v>115500</v>
      </c>
      <c r="T27" s="5">
        <f t="shared" si="1"/>
        <v>0</v>
      </c>
      <c r="V27">
        <f t="shared" si="2"/>
        <v>2</v>
      </c>
      <c r="W27">
        <f t="shared" si="3"/>
        <v>2</v>
      </c>
      <c r="X27" s="5">
        <f t="shared" si="4"/>
        <v>0</v>
      </c>
      <c r="Y27" s="2" t="s">
        <v>6</v>
      </c>
      <c r="Z27" s="2" t="s">
        <v>2</v>
      </c>
      <c r="AA27">
        <v>684</v>
      </c>
      <c r="AC27">
        <f t="shared" si="5"/>
        <v>2024</v>
      </c>
      <c r="AD27">
        <f t="shared" si="6"/>
        <v>2024</v>
      </c>
      <c r="AE27">
        <f t="shared" si="7"/>
        <v>2024</v>
      </c>
      <c r="AF27">
        <f t="shared" si="8"/>
        <v>2</v>
      </c>
    </row>
    <row r="28" spans="1:32" x14ac:dyDescent="0.25">
      <c r="A28" s="20">
        <v>45336</v>
      </c>
      <c r="B28" s="2">
        <v>1014</v>
      </c>
      <c r="C28" s="19" t="s">
        <v>181</v>
      </c>
      <c r="D28" s="19" t="s">
        <v>2</v>
      </c>
      <c r="E28" s="19" t="s">
        <v>2</v>
      </c>
      <c r="F28" s="19" t="s">
        <v>182</v>
      </c>
      <c r="G28" s="19" t="s">
        <v>183</v>
      </c>
      <c r="H28" s="19" t="s">
        <v>184</v>
      </c>
      <c r="I28" s="19" t="s">
        <v>185</v>
      </c>
      <c r="J28" s="2" t="s">
        <v>2</v>
      </c>
      <c r="K28" s="20">
        <v>45336</v>
      </c>
      <c r="L28" s="20">
        <v>45337</v>
      </c>
      <c r="M28" s="22">
        <v>240</v>
      </c>
      <c r="N28" s="21">
        <v>240720</v>
      </c>
      <c r="O28" s="2" t="s">
        <v>76</v>
      </c>
      <c r="P28" s="2" t="s">
        <v>4</v>
      </c>
      <c r="Q28" s="2" t="s">
        <v>5</v>
      </c>
      <c r="R28" s="21">
        <f t="shared" si="0"/>
        <v>240720</v>
      </c>
      <c r="S28" s="21">
        <v>240720</v>
      </c>
      <c r="T28" s="5">
        <f t="shared" si="1"/>
        <v>0</v>
      </c>
      <c r="V28">
        <f t="shared" si="2"/>
        <v>2</v>
      </c>
      <c r="W28">
        <f t="shared" si="3"/>
        <v>2</v>
      </c>
      <c r="X28" s="5">
        <f t="shared" si="4"/>
        <v>0</v>
      </c>
      <c r="Y28" s="2" t="s">
        <v>6</v>
      </c>
      <c r="Z28" s="2" t="s">
        <v>2</v>
      </c>
      <c r="AA28">
        <v>687</v>
      </c>
      <c r="AC28">
        <f t="shared" si="5"/>
        <v>2024</v>
      </c>
      <c r="AD28">
        <f t="shared" si="6"/>
        <v>2024</v>
      </c>
      <c r="AE28">
        <f t="shared" si="7"/>
        <v>2024</v>
      </c>
      <c r="AF28">
        <f t="shared" si="8"/>
        <v>2</v>
      </c>
    </row>
    <row r="29" spans="1:32" x14ac:dyDescent="0.25">
      <c r="A29" s="20">
        <v>45343</v>
      </c>
      <c r="B29" s="2">
        <v>1015</v>
      </c>
      <c r="C29" s="19" t="s">
        <v>186</v>
      </c>
      <c r="D29" s="19" t="s">
        <v>2</v>
      </c>
      <c r="E29" s="19" t="s">
        <v>2</v>
      </c>
      <c r="F29" s="19" t="s">
        <v>187</v>
      </c>
      <c r="G29" s="19" t="s">
        <v>188</v>
      </c>
      <c r="H29" s="19" t="s">
        <v>189</v>
      </c>
      <c r="I29" s="19" t="s">
        <v>190</v>
      </c>
      <c r="J29" s="2" t="s">
        <v>2</v>
      </c>
      <c r="K29" s="20">
        <v>45345</v>
      </c>
      <c r="L29" s="20">
        <v>45343</v>
      </c>
      <c r="M29" s="22">
        <v>280</v>
      </c>
      <c r="N29" s="21">
        <v>216000</v>
      </c>
      <c r="O29" s="2" t="s">
        <v>76</v>
      </c>
      <c r="P29" s="2" t="s">
        <v>4</v>
      </c>
      <c r="Q29" s="2" t="s">
        <v>5</v>
      </c>
      <c r="R29" s="21">
        <f t="shared" si="0"/>
        <v>216000</v>
      </c>
      <c r="S29" s="21">
        <v>216000</v>
      </c>
      <c r="T29" s="5">
        <f t="shared" si="1"/>
        <v>0</v>
      </c>
      <c r="V29">
        <f t="shared" si="2"/>
        <v>2</v>
      </c>
      <c r="W29">
        <f t="shared" si="3"/>
        <v>2</v>
      </c>
      <c r="X29" s="5">
        <f t="shared" si="4"/>
        <v>0</v>
      </c>
      <c r="Y29" s="2" t="s">
        <v>6</v>
      </c>
      <c r="Z29" s="2" t="s">
        <v>2</v>
      </c>
      <c r="AA29">
        <v>686</v>
      </c>
      <c r="AC29">
        <f t="shared" si="5"/>
        <v>2024</v>
      </c>
      <c r="AD29">
        <f t="shared" si="6"/>
        <v>2024</v>
      </c>
      <c r="AE29">
        <f t="shared" si="7"/>
        <v>2024</v>
      </c>
      <c r="AF29">
        <f t="shared" si="8"/>
        <v>2</v>
      </c>
    </row>
    <row r="30" spans="1:32" x14ac:dyDescent="0.25">
      <c r="A30" s="20">
        <v>45343</v>
      </c>
      <c r="B30" s="2">
        <v>1016</v>
      </c>
      <c r="C30" s="19" t="s">
        <v>191</v>
      </c>
      <c r="D30" s="19" t="s">
        <v>2</v>
      </c>
      <c r="E30" s="19" t="s">
        <v>2</v>
      </c>
      <c r="F30" s="19" t="s">
        <v>192</v>
      </c>
      <c r="G30" s="19" t="s">
        <v>164</v>
      </c>
      <c r="H30" s="19" t="s">
        <v>193</v>
      </c>
      <c r="I30" s="19" t="s">
        <v>194</v>
      </c>
      <c r="J30" s="2" t="s">
        <v>2</v>
      </c>
      <c r="K30" s="20">
        <v>45343</v>
      </c>
      <c r="L30" s="20">
        <v>45343</v>
      </c>
      <c r="M30" s="22">
        <v>50</v>
      </c>
      <c r="N30" s="21">
        <v>43000</v>
      </c>
      <c r="O30" s="2" t="s">
        <v>76</v>
      </c>
      <c r="P30" s="2" t="s">
        <v>4</v>
      </c>
      <c r="Q30" s="2" t="s">
        <v>5</v>
      </c>
      <c r="R30" s="21">
        <f t="shared" si="0"/>
        <v>43000</v>
      </c>
      <c r="S30" s="21">
        <v>43000</v>
      </c>
      <c r="T30" s="5">
        <f t="shared" si="1"/>
        <v>0</v>
      </c>
      <c r="V30">
        <f t="shared" si="2"/>
        <v>2</v>
      </c>
      <c r="W30">
        <f t="shared" si="3"/>
        <v>2</v>
      </c>
      <c r="X30" s="5">
        <f t="shared" si="4"/>
        <v>0</v>
      </c>
      <c r="Y30" s="2" t="s">
        <v>6</v>
      </c>
      <c r="Z30" s="2" t="s">
        <v>2</v>
      </c>
      <c r="AC30">
        <f t="shared" si="5"/>
        <v>2024</v>
      </c>
      <c r="AD30">
        <f t="shared" si="6"/>
        <v>2024</v>
      </c>
      <c r="AE30">
        <f t="shared" si="7"/>
        <v>2024</v>
      </c>
      <c r="AF30">
        <f t="shared" si="8"/>
        <v>2</v>
      </c>
    </row>
    <row r="31" spans="1:32" x14ac:dyDescent="0.25">
      <c r="A31" s="20">
        <v>45344</v>
      </c>
      <c r="B31" s="2">
        <v>1017</v>
      </c>
      <c r="C31" s="19" t="s">
        <v>195</v>
      </c>
      <c r="D31" s="19" t="s">
        <v>2</v>
      </c>
      <c r="E31" s="19" t="s">
        <v>2</v>
      </c>
      <c r="F31" s="19" t="s">
        <v>87</v>
      </c>
      <c r="G31" s="19" t="s">
        <v>196</v>
      </c>
      <c r="H31" s="19" t="s">
        <v>197</v>
      </c>
      <c r="I31" s="19" t="s">
        <v>198</v>
      </c>
      <c r="J31" s="2" t="s">
        <v>2</v>
      </c>
      <c r="K31" s="20">
        <v>45344</v>
      </c>
      <c r="L31" s="20">
        <v>45345</v>
      </c>
      <c r="M31" s="22">
        <v>140</v>
      </c>
      <c r="N31" s="21">
        <v>110000</v>
      </c>
      <c r="O31" s="2" t="s">
        <v>76</v>
      </c>
      <c r="P31" s="2" t="s">
        <v>4</v>
      </c>
      <c r="Q31" s="2" t="s">
        <v>5</v>
      </c>
      <c r="R31" s="21">
        <f t="shared" si="0"/>
        <v>110000</v>
      </c>
      <c r="S31" s="21">
        <v>110000</v>
      </c>
      <c r="T31" s="5">
        <f t="shared" si="1"/>
        <v>0</v>
      </c>
      <c r="V31">
        <f t="shared" si="2"/>
        <v>2</v>
      </c>
      <c r="W31">
        <f t="shared" si="3"/>
        <v>2</v>
      </c>
      <c r="X31" s="5">
        <f t="shared" si="4"/>
        <v>0</v>
      </c>
      <c r="Y31" s="2" t="s">
        <v>6</v>
      </c>
      <c r="Z31" s="2" t="s">
        <v>2</v>
      </c>
      <c r="AA31">
        <v>685</v>
      </c>
      <c r="AC31">
        <f t="shared" si="5"/>
        <v>2024</v>
      </c>
      <c r="AD31">
        <f t="shared" si="6"/>
        <v>2024</v>
      </c>
      <c r="AE31">
        <f t="shared" si="7"/>
        <v>2024</v>
      </c>
      <c r="AF31">
        <f t="shared" si="8"/>
        <v>2</v>
      </c>
    </row>
    <row r="32" spans="1:32" x14ac:dyDescent="0.25">
      <c r="A32" s="20">
        <v>45344</v>
      </c>
      <c r="B32" s="2">
        <v>1018</v>
      </c>
      <c r="C32" s="19" t="s">
        <v>162</v>
      </c>
      <c r="D32" s="19" t="s">
        <v>2</v>
      </c>
      <c r="E32" s="19" t="s">
        <v>2</v>
      </c>
      <c r="F32" s="19" t="s">
        <v>199</v>
      </c>
      <c r="G32" s="19" t="s">
        <v>178</v>
      </c>
      <c r="H32" s="19" t="s">
        <v>200</v>
      </c>
      <c r="I32" s="19" t="s">
        <v>201</v>
      </c>
      <c r="J32" s="2" t="s">
        <v>202</v>
      </c>
      <c r="K32" s="20">
        <v>45350</v>
      </c>
      <c r="L32" s="20">
        <v>45349</v>
      </c>
      <c r="M32" s="22">
        <v>84</v>
      </c>
      <c r="N32" s="21">
        <v>72500</v>
      </c>
      <c r="O32" s="2" t="s">
        <v>76</v>
      </c>
      <c r="P32" s="2" t="s">
        <v>4</v>
      </c>
      <c r="Q32" s="2" t="s">
        <v>5</v>
      </c>
      <c r="R32" s="21">
        <f t="shared" si="0"/>
        <v>72500</v>
      </c>
      <c r="S32" s="21">
        <v>72500</v>
      </c>
      <c r="T32" s="5">
        <f t="shared" si="1"/>
        <v>0</v>
      </c>
      <c r="V32">
        <f t="shared" si="2"/>
        <v>2</v>
      </c>
      <c r="W32">
        <f t="shared" si="3"/>
        <v>2</v>
      </c>
      <c r="X32" s="5">
        <f t="shared" si="4"/>
        <v>0</v>
      </c>
      <c r="Y32" s="2" t="s">
        <v>6</v>
      </c>
      <c r="Z32" s="2" t="s">
        <v>2</v>
      </c>
      <c r="AA32">
        <v>690</v>
      </c>
      <c r="AC32">
        <f t="shared" si="5"/>
        <v>2024</v>
      </c>
      <c r="AD32">
        <f t="shared" si="6"/>
        <v>2024</v>
      </c>
      <c r="AE32">
        <f t="shared" si="7"/>
        <v>2024</v>
      </c>
      <c r="AF32">
        <f t="shared" si="8"/>
        <v>2</v>
      </c>
    </row>
    <row r="33" spans="1:32" x14ac:dyDescent="0.25">
      <c r="A33" s="20">
        <v>45348</v>
      </c>
      <c r="B33" s="2">
        <v>1019</v>
      </c>
      <c r="C33" s="19" t="s">
        <v>203</v>
      </c>
      <c r="D33" s="19" t="s">
        <v>2</v>
      </c>
      <c r="E33" s="19" t="s">
        <v>2</v>
      </c>
      <c r="F33" s="19" t="s">
        <v>204</v>
      </c>
      <c r="G33" s="19" t="s">
        <v>92</v>
      </c>
      <c r="H33" s="19" t="s">
        <v>205</v>
      </c>
      <c r="I33" s="19" t="s">
        <v>206</v>
      </c>
      <c r="J33" s="2" t="s">
        <v>2</v>
      </c>
      <c r="K33" s="20">
        <v>45348</v>
      </c>
      <c r="L33" s="20">
        <v>45349</v>
      </c>
      <c r="M33" s="22">
        <v>120</v>
      </c>
      <c r="N33" s="21">
        <v>103000</v>
      </c>
      <c r="O33" s="2" t="s">
        <v>76</v>
      </c>
      <c r="P33" s="2" t="s">
        <v>4</v>
      </c>
      <c r="Q33" s="2" t="s">
        <v>5</v>
      </c>
      <c r="R33" s="21">
        <f t="shared" si="0"/>
        <v>103000</v>
      </c>
      <c r="S33" s="21">
        <v>103000</v>
      </c>
      <c r="T33" s="5">
        <f t="shared" si="1"/>
        <v>0</v>
      </c>
      <c r="V33">
        <f t="shared" si="2"/>
        <v>2</v>
      </c>
      <c r="W33">
        <f t="shared" si="3"/>
        <v>2</v>
      </c>
      <c r="X33" s="5">
        <f t="shared" si="4"/>
        <v>0</v>
      </c>
      <c r="Y33" s="2" t="s">
        <v>6</v>
      </c>
      <c r="Z33" s="2" t="s">
        <v>2</v>
      </c>
      <c r="AA33">
        <v>689</v>
      </c>
      <c r="AC33">
        <f t="shared" si="5"/>
        <v>2024</v>
      </c>
      <c r="AD33">
        <f t="shared" si="6"/>
        <v>2024</v>
      </c>
      <c r="AE33">
        <f t="shared" si="7"/>
        <v>2024</v>
      </c>
      <c r="AF33">
        <f t="shared" si="8"/>
        <v>2</v>
      </c>
    </row>
    <row r="34" spans="1:32" x14ac:dyDescent="0.25">
      <c r="A34" s="20">
        <v>45350.125</v>
      </c>
      <c r="B34" s="2">
        <v>1020</v>
      </c>
      <c r="C34" s="19" t="s">
        <v>207</v>
      </c>
      <c r="D34" s="19" t="s">
        <v>2</v>
      </c>
      <c r="E34" s="19" t="s">
        <v>2</v>
      </c>
      <c r="F34" s="19" t="s">
        <v>208</v>
      </c>
      <c r="G34" s="19" t="s">
        <v>209</v>
      </c>
      <c r="H34" s="19" t="s">
        <v>210</v>
      </c>
      <c r="I34" s="19" t="s">
        <v>211</v>
      </c>
      <c r="J34" s="2" t="s">
        <v>2</v>
      </c>
      <c r="K34" s="20">
        <v>45352.125</v>
      </c>
      <c r="L34" s="20">
        <v>45352.125</v>
      </c>
      <c r="M34" s="22">
        <v>385</v>
      </c>
      <c r="N34" s="21">
        <v>331100</v>
      </c>
      <c r="O34" s="2" t="s">
        <v>76</v>
      </c>
      <c r="P34" s="2" t="s">
        <v>4</v>
      </c>
      <c r="Q34" s="2" t="s">
        <v>5</v>
      </c>
      <c r="R34" s="21">
        <f t="shared" si="0"/>
        <v>331100</v>
      </c>
      <c r="S34" s="21">
        <v>331100</v>
      </c>
      <c r="T34" s="5">
        <f t="shared" si="1"/>
        <v>0</v>
      </c>
      <c r="V34">
        <f t="shared" si="2"/>
        <v>3</v>
      </c>
      <c r="W34">
        <f t="shared" si="3"/>
        <v>2</v>
      </c>
      <c r="X34" s="5">
        <f t="shared" si="4"/>
        <v>0</v>
      </c>
      <c r="Y34" s="2" t="s">
        <v>6</v>
      </c>
      <c r="Z34" s="2" t="s">
        <v>2</v>
      </c>
      <c r="AA34">
        <v>691</v>
      </c>
      <c r="AC34">
        <f t="shared" si="5"/>
        <v>2024</v>
      </c>
      <c r="AD34">
        <f t="shared" si="6"/>
        <v>2024</v>
      </c>
      <c r="AE34">
        <f t="shared" si="7"/>
        <v>2024</v>
      </c>
      <c r="AF34">
        <f t="shared" si="8"/>
        <v>3</v>
      </c>
    </row>
    <row r="35" spans="1:32" x14ac:dyDescent="0.25">
      <c r="A35" s="20">
        <v>45352</v>
      </c>
      <c r="B35" s="2">
        <v>1021</v>
      </c>
      <c r="C35" s="19" t="s">
        <v>82</v>
      </c>
      <c r="D35" s="19" t="s">
        <v>2</v>
      </c>
      <c r="E35" s="19" t="s">
        <v>2</v>
      </c>
      <c r="F35" s="19" t="s">
        <v>212</v>
      </c>
      <c r="G35" s="19" t="s">
        <v>108</v>
      </c>
      <c r="H35" s="19" t="s">
        <v>213</v>
      </c>
      <c r="I35" s="19" t="s">
        <v>214</v>
      </c>
      <c r="J35" s="2" t="s">
        <v>2</v>
      </c>
      <c r="K35" s="20">
        <v>45352</v>
      </c>
      <c r="L35" s="20"/>
      <c r="M35" s="22">
        <v>110</v>
      </c>
      <c r="N35" s="21">
        <v>104000</v>
      </c>
      <c r="O35" s="2" t="s">
        <v>3</v>
      </c>
      <c r="P35" s="2" t="s">
        <v>4</v>
      </c>
      <c r="Q35" s="2" t="s">
        <v>98</v>
      </c>
      <c r="R35" s="21">
        <f t="shared" si="0"/>
        <v>0</v>
      </c>
      <c r="S35" s="21">
        <v>0</v>
      </c>
      <c r="T35" s="5">
        <f t="shared" si="1"/>
        <v>0</v>
      </c>
      <c r="V35">
        <f t="shared" si="2"/>
        <v>3</v>
      </c>
      <c r="W35">
        <f t="shared" si="3"/>
        <v>3</v>
      </c>
      <c r="X35" s="5">
        <f t="shared" si="4"/>
        <v>0</v>
      </c>
      <c r="Y35" s="2" t="s">
        <v>6</v>
      </c>
      <c r="Z35" s="2" t="s">
        <v>2</v>
      </c>
      <c r="AC35">
        <f t="shared" si="5"/>
        <v>2024</v>
      </c>
      <c r="AD35">
        <f t="shared" si="6"/>
        <v>2024</v>
      </c>
      <c r="AE35" t="str">
        <f t="shared" si="7"/>
        <v/>
      </c>
      <c r="AF35" t="str">
        <f t="shared" si="8"/>
        <v/>
      </c>
    </row>
    <row r="36" spans="1:32" x14ac:dyDescent="0.25">
      <c r="A36" s="20">
        <v>45357</v>
      </c>
      <c r="B36" s="2">
        <v>1022</v>
      </c>
      <c r="C36" s="19" t="s">
        <v>82</v>
      </c>
      <c r="D36" s="19" t="s">
        <v>2</v>
      </c>
      <c r="E36" s="19" t="s">
        <v>2</v>
      </c>
      <c r="F36" s="19" t="s">
        <v>215</v>
      </c>
      <c r="G36" s="19" t="s">
        <v>216</v>
      </c>
      <c r="H36" s="19" t="s">
        <v>217</v>
      </c>
      <c r="I36" s="19" t="s">
        <v>218</v>
      </c>
      <c r="J36" s="2" t="s">
        <v>2</v>
      </c>
      <c r="K36" s="20">
        <v>45357</v>
      </c>
      <c r="L36" s="20">
        <v>45357</v>
      </c>
      <c r="M36" s="22">
        <v>52</v>
      </c>
      <c r="N36" s="21">
        <v>45000</v>
      </c>
      <c r="O36" s="2" t="s">
        <v>76</v>
      </c>
      <c r="P36" s="2" t="s">
        <v>4</v>
      </c>
      <c r="Q36" s="2" t="s">
        <v>5</v>
      </c>
      <c r="R36" s="21">
        <f t="shared" si="0"/>
        <v>45000</v>
      </c>
      <c r="S36" s="21">
        <v>45000</v>
      </c>
      <c r="T36" s="5">
        <f t="shared" si="1"/>
        <v>0</v>
      </c>
      <c r="V36">
        <f t="shared" si="2"/>
        <v>3</v>
      </c>
      <c r="W36">
        <f t="shared" si="3"/>
        <v>3</v>
      </c>
      <c r="X36" s="5">
        <f t="shared" si="4"/>
        <v>0</v>
      </c>
      <c r="Y36" s="2" t="s">
        <v>6</v>
      </c>
      <c r="Z36" s="2" t="s">
        <v>2</v>
      </c>
      <c r="AA36">
        <v>692</v>
      </c>
      <c r="AC36">
        <f t="shared" si="5"/>
        <v>2024</v>
      </c>
      <c r="AD36">
        <f t="shared" si="6"/>
        <v>2024</v>
      </c>
      <c r="AE36">
        <f t="shared" si="7"/>
        <v>2024</v>
      </c>
      <c r="AF36">
        <f t="shared" si="8"/>
        <v>3</v>
      </c>
    </row>
    <row r="37" spans="1:32" x14ac:dyDescent="0.25">
      <c r="A37" s="20">
        <v>45357</v>
      </c>
      <c r="B37" s="2">
        <v>1023</v>
      </c>
      <c r="C37" s="19" t="s">
        <v>219</v>
      </c>
      <c r="D37" s="19" t="s">
        <v>2</v>
      </c>
      <c r="E37" s="19" t="s">
        <v>2</v>
      </c>
      <c r="F37" s="19" t="s">
        <v>220</v>
      </c>
      <c r="G37" s="19" t="s">
        <v>221</v>
      </c>
      <c r="H37" s="19" t="s">
        <v>222</v>
      </c>
      <c r="I37" s="19" t="s">
        <v>223</v>
      </c>
      <c r="J37" s="2" t="s">
        <v>2</v>
      </c>
      <c r="K37" s="20">
        <v>45357</v>
      </c>
      <c r="L37" s="20">
        <v>45364</v>
      </c>
      <c r="M37" s="22">
        <v>50</v>
      </c>
      <c r="N37" s="21">
        <v>49500</v>
      </c>
      <c r="O37" s="2" t="s">
        <v>76</v>
      </c>
      <c r="P37" s="2" t="s">
        <v>4</v>
      </c>
      <c r="Q37" s="2" t="s">
        <v>5</v>
      </c>
      <c r="R37" s="21">
        <f t="shared" si="0"/>
        <v>49500</v>
      </c>
      <c r="S37" s="21">
        <v>49500</v>
      </c>
      <c r="T37" s="5">
        <f t="shared" si="1"/>
        <v>0</v>
      </c>
      <c r="V37">
        <f t="shared" si="2"/>
        <v>3</v>
      </c>
      <c r="W37">
        <f t="shared" si="3"/>
        <v>3</v>
      </c>
      <c r="X37" s="5">
        <f t="shared" si="4"/>
        <v>0</v>
      </c>
      <c r="Y37" s="2" t="s">
        <v>6</v>
      </c>
      <c r="Z37" s="2" t="s">
        <v>2</v>
      </c>
      <c r="AA37">
        <v>693</v>
      </c>
      <c r="AC37">
        <f t="shared" si="5"/>
        <v>2024</v>
      </c>
      <c r="AD37">
        <f t="shared" si="6"/>
        <v>2024</v>
      </c>
      <c r="AE37">
        <f t="shared" si="7"/>
        <v>2024</v>
      </c>
      <c r="AF37">
        <f t="shared" si="8"/>
        <v>3</v>
      </c>
    </row>
    <row r="38" spans="1:32" x14ac:dyDescent="0.25">
      <c r="A38" s="20">
        <v>45362</v>
      </c>
      <c r="B38" s="2">
        <v>1024</v>
      </c>
      <c r="C38" s="19" t="s">
        <v>224</v>
      </c>
      <c r="D38" s="19" t="s">
        <v>2</v>
      </c>
      <c r="E38" s="19" t="s">
        <v>2</v>
      </c>
      <c r="F38" s="19" t="s">
        <v>225</v>
      </c>
      <c r="G38" s="19" t="s">
        <v>226</v>
      </c>
      <c r="H38" s="19" t="s">
        <v>227</v>
      </c>
      <c r="I38" s="19" t="s">
        <v>228</v>
      </c>
      <c r="J38" s="2" t="s">
        <v>2</v>
      </c>
      <c r="K38" s="20">
        <v>45362</v>
      </c>
      <c r="L38" s="20">
        <v>45362</v>
      </c>
      <c r="M38" s="22">
        <v>63</v>
      </c>
      <c r="N38" s="21">
        <v>55000</v>
      </c>
      <c r="O38" s="2" t="s">
        <v>76</v>
      </c>
      <c r="P38" s="2" t="s">
        <v>4</v>
      </c>
      <c r="Q38" s="2" t="s">
        <v>5</v>
      </c>
      <c r="R38" s="21">
        <f t="shared" si="0"/>
        <v>55000</v>
      </c>
      <c r="S38" s="21">
        <v>55000</v>
      </c>
      <c r="T38" s="5">
        <f t="shared" si="1"/>
        <v>0</v>
      </c>
      <c r="V38">
        <f t="shared" si="2"/>
        <v>3</v>
      </c>
      <c r="W38">
        <f t="shared" si="3"/>
        <v>3</v>
      </c>
      <c r="X38" s="5">
        <f t="shared" si="4"/>
        <v>0</v>
      </c>
      <c r="Y38" s="2" t="s">
        <v>6</v>
      </c>
      <c r="Z38" s="2" t="s">
        <v>2</v>
      </c>
      <c r="AC38">
        <f t="shared" si="5"/>
        <v>2024</v>
      </c>
      <c r="AD38">
        <f t="shared" si="6"/>
        <v>2024</v>
      </c>
      <c r="AE38">
        <f t="shared" si="7"/>
        <v>2024</v>
      </c>
      <c r="AF38">
        <f t="shared" si="8"/>
        <v>3</v>
      </c>
    </row>
    <row r="39" spans="1:32" x14ac:dyDescent="0.25">
      <c r="A39" s="20">
        <v>45363</v>
      </c>
      <c r="B39" s="2">
        <v>1025</v>
      </c>
      <c r="C39" s="19" t="s">
        <v>229</v>
      </c>
      <c r="D39" s="19" t="s">
        <v>2</v>
      </c>
      <c r="E39" s="19" t="s">
        <v>2</v>
      </c>
      <c r="F39" s="19" t="s">
        <v>230</v>
      </c>
      <c r="G39" s="19" t="s">
        <v>231</v>
      </c>
      <c r="H39" s="19" t="s">
        <v>232</v>
      </c>
      <c r="I39" s="19" t="s">
        <v>233</v>
      </c>
      <c r="J39" s="2" t="s">
        <v>2</v>
      </c>
      <c r="K39" s="20">
        <v>45363</v>
      </c>
      <c r="L39" s="20">
        <v>45366</v>
      </c>
      <c r="M39" s="22">
        <v>61</v>
      </c>
      <c r="N39" s="21">
        <v>53000</v>
      </c>
      <c r="O39" s="2" t="s">
        <v>3</v>
      </c>
      <c r="P39" s="2" t="s">
        <v>4</v>
      </c>
      <c r="Q39" s="2" t="s">
        <v>5</v>
      </c>
      <c r="R39" s="21">
        <f t="shared" si="0"/>
        <v>53000</v>
      </c>
      <c r="S39" s="21">
        <v>53000</v>
      </c>
      <c r="T39" s="5">
        <f t="shared" si="1"/>
        <v>0</v>
      </c>
      <c r="V39">
        <f t="shared" si="2"/>
        <v>3</v>
      </c>
      <c r="W39">
        <f t="shared" si="3"/>
        <v>3</v>
      </c>
      <c r="X39" s="5">
        <f t="shared" si="4"/>
        <v>0</v>
      </c>
      <c r="Y39" s="2" t="s">
        <v>6</v>
      </c>
      <c r="Z39" s="2" t="s">
        <v>2</v>
      </c>
      <c r="AA39">
        <v>694</v>
      </c>
      <c r="AC39">
        <f t="shared" si="5"/>
        <v>2024</v>
      </c>
      <c r="AD39">
        <f t="shared" si="6"/>
        <v>2024</v>
      </c>
      <c r="AE39">
        <f t="shared" si="7"/>
        <v>2024</v>
      </c>
      <c r="AF39">
        <f t="shared" si="8"/>
        <v>3</v>
      </c>
    </row>
    <row r="40" spans="1:32" x14ac:dyDescent="0.25">
      <c r="A40" s="20">
        <v>45363</v>
      </c>
      <c r="B40" s="2">
        <v>1026</v>
      </c>
      <c r="C40" s="19" t="s">
        <v>229</v>
      </c>
      <c r="D40" s="19" t="s">
        <v>2</v>
      </c>
      <c r="E40" s="19" t="s">
        <v>2</v>
      </c>
      <c r="F40" s="19" t="s">
        <v>234</v>
      </c>
      <c r="G40" s="19" t="s">
        <v>196</v>
      </c>
      <c r="H40" s="19" t="s">
        <v>235</v>
      </c>
      <c r="I40" s="19" t="s">
        <v>236</v>
      </c>
      <c r="J40" s="2" t="s">
        <v>2</v>
      </c>
      <c r="K40" s="20">
        <v>45363</v>
      </c>
      <c r="L40" s="20">
        <v>45366</v>
      </c>
      <c r="M40" s="22">
        <v>127</v>
      </c>
      <c r="N40" s="21">
        <v>110000</v>
      </c>
      <c r="O40" s="2" t="s">
        <v>3</v>
      </c>
      <c r="P40" s="2" t="s">
        <v>4</v>
      </c>
      <c r="Q40" s="2" t="s">
        <v>5</v>
      </c>
      <c r="R40" s="21">
        <f t="shared" si="0"/>
        <v>110000</v>
      </c>
      <c r="S40" s="21">
        <v>110000</v>
      </c>
      <c r="T40" s="5">
        <f t="shared" si="1"/>
        <v>0</v>
      </c>
      <c r="V40">
        <f t="shared" si="2"/>
        <v>3</v>
      </c>
      <c r="W40">
        <f t="shared" si="3"/>
        <v>3</v>
      </c>
      <c r="X40" s="5">
        <f t="shared" si="4"/>
        <v>0</v>
      </c>
      <c r="Y40" s="2" t="s">
        <v>6</v>
      </c>
      <c r="Z40" s="2" t="s">
        <v>2</v>
      </c>
      <c r="AA40">
        <v>694</v>
      </c>
      <c r="AC40">
        <f t="shared" si="5"/>
        <v>2024</v>
      </c>
      <c r="AD40">
        <f t="shared" si="6"/>
        <v>2024</v>
      </c>
      <c r="AE40">
        <f t="shared" si="7"/>
        <v>2024</v>
      </c>
      <c r="AF40">
        <f t="shared" si="8"/>
        <v>3</v>
      </c>
    </row>
    <row r="41" spans="1:32" x14ac:dyDescent="0.25">
      <c r="A41" s="20">
        <v>45363</v>
      </c>
      <c r="B41" s="2">
        <v>1027</v>
      </c>
      <c r="C41" s="19" t="s">
        <v>229</v>
      </c>
      <c r="D41" s="19" t="s">
        <v>2</v>
      </c>
      <c r="E41" s="19" t="s">
        <v>2</v>
      </c>
      <c r="F41" s="19" t="s">
        <v>237</v>
      </c>
      <c r="G41" s="19" t="s">
        <v>238</v>
      </c>
      <c r="H41" s="19" t="s">
        <v>239</v>
      </c>
      <c r="I41" s="19" t="s">
        <v>240</v>
      </c>
      <c r="J41" s="2" t="s">
        <v>2</v>
      </c>
      <c r="K41" s="20">
        <v>45369</v>
      </c>
      <c r="L41" s="20">
        <v>45366</v>
      </c>
      <c r="M41" s="22">
        <v>30</v>
      </c>
      <c r="N41" s="21">
        <v>26000</v>
      </c>
      <c r="O41" s="2" t="s">
        <v>3</v>
      </c>
      <c r="P41" s="2" t="s">
        <v>4</v>
      </c>
      <c r="Q41" s="2" t="s">
        <v>5</v>
      </c>
      <c r="R41" s="21">
        <f t="shared" si="0"/>
        <v>26000</v>
      </c>
      <c r="S41" s="21">
        <v>26000</v>
      </c>
      <c r="T41" s="5">
        <f t="shared" si="1"/>
        <v>0</v>
      </c>
      <c r="V41">
        <f t="shared" si="2"/>
        <v>3</v>
      </c>
      <c r="W41">
        <f t="shared" si="3"/>
        <v>3</v>
      </c>
      <c r="X41" s="5">
        <f t="shared" si="4"/>
        <v>0</v>
      </c>
      <c r="Y41" s="2" t="s">
        <v>6</v>
      </c>
      <c r="Z41" s="2" t="s">
        <v>2</v>
      </c>
      <c r="AA41">
        <v>694</v>
      </c>
      <c r="AC41">
        <f t="shared" si="5"/>
        <v>2024</v>
      </c>
      <c r="AD41">
        <f t="shared" si="6"/>
        <v>2024</v>
      </c>
      <c r="AE41">
        <f t="shared" si="7"/>
        <v>2024</v>
      </c>
      <c r="AF41">
        <f t="shared" si="8"/>
        <v>3</v>
      </c>
    </row>
    <row r="42" spans="1:32" x14ac:dyDescent="0.25">
      <c r="A42" s="20">
        <v>45364</v>
      </c>
      <c r="B42" s="2">
        <v>1028</v>
      </c>
      <c r="C42" s="19" t="s">
        <v>162</v>
      </c>
      <c r="D42" s="19" t="s">
        <v>2</v>
      </c>
      <c r="E42" s="19" t="s">
        <v>2</v>
      </c>
      <c r="F42" s="19" t="s">
        <v>241</v>
      </c>
      <c r="G42" s="19" t="s">
        <v>242</v>
      </c>
      <c r="H42" s="19" t="s">
        <v>243</v>
      </c>
      <c r="I42" s="19" t="s">
        <v>244</v>
      </c>
      <c r="J42" s="2" t="s">
        <v>2</v>
      </c>
      <c r="K42" s="20">
        <v>45390</v>
      </c>
      <c r="L42" s="20">
        <v>45456</v>
      </c>
      <c r="M42" s="22">
        <v>172</v>
      </c>
      <c r="N42" s="21">
        <v>172000</v>
      </c>
      <c r="O42" s="2" t="s">
        <v>76</v>
      </c>
      <c r="P42" s="2" t="s">
        <v>4</v>
      </c>
      <c r="Q42" s="2" t="s">
        <v>5</v>
      </c>
      <c r="R42" s="21">
        <f t="shared" si="0"/>
        <v>172000</v>
      </c>
      <c r="S42" s="21">
        <v>172000</v>
      </c>
      <c r="T42" s="5">
        <f t="shared" si="1"/>
        <v>0</v>
      </c>
      <c r="V42">
        <f t="shared" si="2"/>
        <v>4</v>
      </c>
      <c r="W42">
        <f t="shared" si="3"/>
        <v>3</v>
      </c>
      <c r="X42" s="5">
        <f t="shared" si="4"/>
        <v>0</v>
      </c>
      <c r="Y42" s="2" t="s">
        <v>6</v>
      </c>
      <c r="Z42" s="2" t="s">
        <v>2</v>
      </c>
      <c r="AA42">
        <v>697</v>
      </c>
      <c r="AC42">
        <f t="shared" si="5"/>
        <v>2024</v>
      </c>
      <c r="AD42">
        <f t="shared" si="6"/>
        <v>2024</v>
      </c>
      <c r="AE42">
        <f t="shared" si="7"/>
        <v>2024</v>
      </c>
      <c r="AF42">
        <f t="shared" si="8"/>
        <v>6</v>
      </c>
    </row>
    <row r="43" spans="1:32" x14ac:dyDescent="0.25">
      <c r="A43" s="20">
        <v>45366</v>
      </c>
      <c r="B43" s="2">
        <v>1029</v>
      </c>
      <c r="C43" s="19" t="s">
        <v>245</v>
      </c>
      <c r="D43" s="19" t="s">
        <v>2</v>
      </c>
      <c r="E43" s="19" t="s">
        <v>2</v>
      </c>
      <c r="F43" s="19" t="s">
        <v>246</v>
      </c>
      <c r="G43" s="19" t="s">
        <v>108</v>
      </c>
      <c r="H43" s="19" t="s">
        <v>247</v>
      </c>
      <c r="I43" s="19" t="s">
        <v>248</v>
      </c>
      <c r="J43" s="2" t="s">
        <v>2</v>
      </c>
      <c r="K43" s="20">
        <v>45366</v>
      </c>
      <c r="L43" s="20">
        <v>45366</v>
      </c>
      <c r="M43" s="22">
        <v>226</v>
      </c>
      <c r="N43" s="21">
        <v>195500</v>
      </c>
      <c r="O43" s="2" t="s">
        <v>3</v>
      </c>
      <c r="P43" s="2" t="s">
        <v>4</v>
      </c>
      <c r="Q43" s="2" t="s">
        <v>5</v>
      </c>
      <c r="R43" s="21">
        <f t="shared" si="0"/>
        <v>195500</v>
      </c>
      <c r="S43" s="21">
        <v>195500</v>
      </c>
      <c r="T43" s="5">
        <f t="shared" si="1"/>
        <v>0</v>
      </c>
      <c r="V43">
        <f t="shared" si="2"/>
        <v>3</v>
      </c>
      <c r="W43">
        <f t="shared" si="3"/>
        <v>3</v>
      </c>
      <c r="X43" s="5">
        <f t="shared" si="4"/>
        <v>0</v>
      </c>
      <c r="Y43" s="2" t="s">
        <v>6</v>
      </c>
      <c r="Z43" s="2" t="s">
        <v>2</v>
      </c>
      <c r="AA43">
        <v>695</v>
      </c>
      <c r="AC43">
        <f t="shared" si="5"/>
        <v>2024</v>
      </c>
      <c r="AD43">
        <f t="shared" si="6"/>
        <v>2024</v>
      </c>
      <c r="AE43">
        <f t="shared" si="7"/>
        <v>2024</v>
      </c>
      <c r="AF43">
        <f t="shared" si="8"/>
        <v>3</v>
      </c>
    </row>
    <row r="44" spans="1:32" x14ac:dyDescent="0.25">
      <c r="A44" s="20">
        <v>45366</v>
      </c>
      <c r="B44" s="2">
        <v>1030</v>
      </c>
      <c r="C44" s="19" t="s">
        <v>0</v>
      </c>
      <c r="D44" s="19" t="s">
        <v>112</v>
      </c>
      <c r="E44" s="19" t="s">
        <v>2</v>
      </c>
      <c r="F44" s="19" t="s">
        <v>249</v>
      </c>
      <c r="G44" s="19" t="s">
        <v>250</v>
      </c>
      <c r="H44" s="19" t="s">
        <v>251</v>
      </c>
      <c r="I44" s="19" t="s">
        <v>252</v>
      </c>
      <c r="J44" s="2" t="s">
        <v>2</v>
      </c>
      <c r="K44" s="20">
        <v>45368</v>
      </c>
      <c r="L44" s="20">
        <v>45368</v>
      </c>
      <c r="M44" s="22">
        <v>0</v>
      </c>
      <c r="N44" s="21">
        <v>28635</v>
      </c>
      <c r="O44" s="2" t="s">
        <v>76</v>
      </c>
      <c r="P44" s="2" t="s">
        <v>4</v>
      </c>
      <c r="Q44" s="2" t="s">
        <v>5</v>
      </c>
      <c r="R44" s="21">
        <f t="shared" si="0"/>
        <v>28635</v>
      </c>
      <c r="S44" s="21">
        <v>28635</v>
      </c>
      <c r="T44" s="5">
        <f t="shared" si="1"/>
        <v>0</v>
      </c>
      <c r="V44">
        <f t="shared" si="2"/>
        <v>3</v>
      </c>
      <c r="W44">
        <f t="shared" si="3"/>
        <v>3</v>
      </c>
      <c r="X44" s="5">
        <f t="shared" si="4"/>
        <v>0</v>
      </c>
      <c r="Y44" s="2" t="s">
        <v>6</v>
      </c>
      <c r="Z44" s="2" t="s">
        <v>2</v>
      </c>
      <c r="AC44">
        <f t="shared" si="5"/>
        <v>2024</v>
      </c>
      <c r="AD44">
        <f t="shared" si="6"/>
        <v>2024</v>
      </c>
      <c r="AE44">
        <f t="shared" si="7"/>
        <v>2024</v>
      </c>
      <c r="AF44">
        <f t="shared" si="8"/>
        <v>3</v>
      </c>
    </row>
    <row r="45" spans="1:32" x14ac:dyDescent="0.25">
      <c r="A45" s="20">
        <v>45377</v>
      </c>
      <c r="B45" s="2">
        <v>1031</v>
      </c>
      <c r="C45" s="19" t="s">
        <v>82</v>
      </c>
      <c r="D45" s="19" t="s">
        <v>2</v>
      </c>
      <c r="E45" s="19" t="s">
        <v>2</v>
      </c>
      <c r="F45" s="19" t="s">
        <v>253</v>
      </c>
      <c r="G45" s="19" t="s">
        <v>238</v>
      </c>
      <c r="H45" s="19" t="s">
        <v>254</v>
      </c>
      <c r="I45" s="19" t="s">
        <v>255</v>
      </c>
      <c r="J45" s="2" t="s">
        <v>2</v>
      </c>
      <c r="K45" s="20">
        <v>45380</v>
      </c>
      <c r="L45" s="20">
        <v>45381</v>
      </c>
      <c r="M45" s="22">
        <v>0</v>
      </c>
      <c r="N45" s="21">
        <v>195500</v>
      </c>
      <c r="O45" s="2" t="s">
        <v>3</v>
      </c>
      <c r="P45" s="2" t="s">
        <v>146</v>
      </c>
      <c r="Q45" s="2" t="s">
        <v>147</v>
      </c>
      <c r="R45" s="21">
        <f t="shared" si="0"/>
        <v>0</v>
      </c>
      <c r="S45" s="21">
        <v>0</v>
      </c>
      <c r="T45" s="5">
        <f t="shared" si="1"/>
        <v>0</v>
      </c>
      <c r="V45">
        <f t="shared" si="2"/>
        <v>3</v>
      </c>
      <c r="W45">
        <f t="shared" si="3"/>
        <v>3</v>
      </c>
      <c r="X45" s="5">
        <f t="shared" si="4"/>
        <v>0</v>
      </c>
      <c r="Y45" s="2" t="s">
        <v>6</v>
      </c>
      <c r="Z45" s="2" t="s">
        <v>2</v>
      </c>
      <c r="AC45">
        <f t="shared" si="5"/>
        <v>2024</v>
      </c>
      <c r="AD45">
        <f t="shared" si="6"/>
        <v>2024</v>
      </c>
      <c r="AE45">
        <f t="shared" si="7"/>
        <v>2024</v>
      </c>
      <c r="AF45">
        <f t="shared" si="8"/>
        <v>3</v>
      </c>
    </row>
    <row r="46" spans="1:32" x14ac:dyDescent="0.25">
      <c r="A46" s="20">
        <v>45378</v>
      </c>
      <c r="B46" s="2">
        <v>1032</v>
      </c>
      <c r="C46" s="19" t="s">
        <v>203</v>
      </c>
      <c r="D46" s="19" t="s">
        <v>2</v>
      </c>
      <c r="E46" s="19" t="s">
        <v>2</v>
      </c>
      <c r="F46" s="19" t="s">
        <v>204</v>
      </c>
      <c r="G46" s="19" t="s">
        <v>92</v>
      </c>
      <c r="H46" s="19" t="s">
        <v>205</v>
      </c>
      <c r="I46" s="19" t="s">
        <v>206</v>
      </c>
      <c r="J46" s="2" t="s">
        <v>2</v>
      </c>
      <c r="K46" s="20">
        <v>45378</v>
      </c>
      <c r="L46" s="20">
        <v>45379</v>
      </c>
      <c r="M46" s="22">
        <v>131</v>
      </c>
      <c r="N46" s="21">
        <v>115000</v>
      </c>
      <c r="O46" s="2" t="s">
        <v>76</v>
      </c>
      <c r="P46" s="2" t="s">
        <v>4</v>
      </c>
      <c r="Q46" s="2" t="s">
        <v>5</v>
      </c>
      <c r="R46" s="21">
        <f t="shared" si="0"/>
        <v>115000</v>
      </c>
      <c r="S46" s="21">
        <v>115000</v>
      </c>
      <c r="T46" s="5">
        <f t="shared" si="1"/>
        <v>0</v>
      </c>
      <c r="V46">
        <f t="shared" si="2"/>
        <v>3</v>
      </c>
      <c r="W46">
        <f t="shared" si="3"/>
        <v>3</v>
      </c>
      <c r="X46" s="5">
        <f t="shared" si="4"/>
        <v>0</v>
      </c>
      <c r="Y46" s="2" t="s">
        <v>6</v>
      </c>
      <c r="Z46" s="2" t="s">
        <v>2</v>
      </c>
      <c r="AA46">
        <v>696</v>
      </c>
      <c r="AC46">
        <f t="shared" si="5"/>
        <v>2024</v>
      </c>
      <c r="AD46">
        <f t="shared" si="6"/>
        <v>2024</v>
      </c>
      <c r="AE46">
        <f t="shared" si="7"/>
        <v>2024</v>
      </c>
      <c r="AF46">
        <f t="shared" si="8"/>
        <v>3</v>
      </c>
    </row>
    <row r="47" spans="1:32" x14ac:dyDescent="0.25">
      <c r="A47" s="20">
        <v>45378</v>
      </c>
      <c r="B47" s="2">
        <v>1033</v>
      </c>
      <c r="C47" s="19" t="s">
        <v>256</v>
      </c>
      <c r="D47" s="19" t="s">
        <v>2</v>
      </c>
      <c r="E47" s="19" t="s">
        <v>2</v>
      </c>
      <c r="F47" s="19" t="s">
        <v>257</v>
      </c>
      <c r="G47" s="19" t="s">
        <v>108</v>
      </c>
      <c r="H47" s="19" t="s">
        <v>258</v>
      </c>
      <c r="I47" s="19" t="s">
        <v>259</v>
      </c>
      <c r="J47" s="2" t="s">
        <v>2</v>
      </c>
      <c r="K47" s="20">
        <v>45378</v>
      </c>
      <c r="L47" s="20">
        <v>45379</v>
      </c>
      <c r="M47" s="22">
        <v>90</v>
      </c>
      <c r="N47" s="21">
        <v>79500</v>
      </c>
      <c r="O47" s="2" t="s">
        <v>76</v>
      </c>
      <c r="P47" s="2" t="s">
        <v>4</v>
      </c>
      <c r="Q47" s="2" t="s">
        <v>5</v>
      </c>
      <c r="R47" s="21">
        <f t="shared" si="0"/>
        <v>79500</v>
      </c>
      <c r="S47" s="21">
        <v>79500</v>
      </c>
      <c r="T47" s="5">
        <f t="shared" si="1"/>
        <v>0</v>
      </c>
      <c r="V47">
        <f t="shared" si="2"/>
        <v>3</v>
      </c>
      <c r="W47">
        <f t="shared" si="3"/>
        <v>3</v>
      </c>
      <c r="X47" s="5">
        <f t="shared" si="4"/>
        <v>0</v>
      </c>
      <c r="Y47" s="2" t="s">
        <v>6</v>
      </c>
      <c r="Z47" s="2" t="s">
        <v>2</v>
      </c>
      <c r="AC47">
        <f t="shared" si="5"/>
        <v>2024</v>
      </c>
      <c r="AD47">
        <f t="shared" si="6"/>
        <v>2024</v>
      </c>
      <c r="AE47">
        <f t="shared" si="7"/>
        <v>2024</v>
      </c>
      <c r="AF47">
        <f t="shared" si="8"/>
        <v>3</v>
      </c>
    </row>
    <row r="48" spans="1:32" x14ac:dyDescent="0.25">
      <c r="A48" s="20">
        <v>45379</v>
      </c>
      <c r="B48" s="2">
        <v>1034</v>
      </c>
      <c r="C48" s="19" t="s">
        <v>219</v>
      </c>
      <c r="D48" s="19" t="s">
        <v>2</v>
      </c>
      <c r="E48" s="19" t="s">
        <v>2</v>
      </c>
      <c r="F48" s="19" t="s">
        <v>260</v>
      </c>
      <c r="G48" s="19" t="s">
        <v>261</v>
      </c>
      <c r="H48" s="19" t="s">
        <v>262</v>
      </c>
      <c r="I48" s="19" t="s">
        <v>263</v>
      </c>
      <c r="J48" s="2" t="s">
        <v>2</v>
      </c>
      <c r="K48" s="20">
        <v>45379</v>
      </c>
      <c r="L48" s="20">
        <v>45380</v>
      </c>
      <c r="M48" s="22">
        <v>250</v>
      </c>
      <c r="N48" s="21">
        <v>219000</v>
      </c>
      <c r="O48" s="2" t="s">
        <v>76</v>
      </c>
      <c r="P48" s="2" t="s">
        <v>4</v>
      </c>
      <c r="Q48" s="2" t="s">
        <v>5</v>
      </c>
      <c r="R48" s="21">
        <f t="shared" si="0"/>
        <v>219000</v>
      </c>
      <c r="S48" s="21">
        <v>219000</v>
      </c>
      <c r="T48" s="5">
        <f t="shared" si="1"/>
        <v>0</v>
      </c>
      <c r="V48">
        <f t="shared" si="2"/>
        <v>3</v>
      </c>
      <c r="W48">
        <f t="shared" si="3"/>
        <v>3</v>
      </c>
      <c r="X48" s="5">
        <f t="shared" si="4"/>
        <v>0</v>
      </c>
      <c r="Y48" s="2" t="s">
        <v>6</v>
      </c>
      <c r="Z48" s="2" t="s">
        <v>2</v>
      </c>
      <c r="AA48">
        <v>699</v>
      </c>
      <c r="AC48">
        <f t="shared" si="5"/>
        <v>2024</v>
      </c>
      <c r="AD48">
        <f t="shared" si="6"/>
        <v>2024</v>
      </c>
      <c r="AE48">
        <f t="shared" si="7"/>
        <v>2024</v>
      </c>
      <c r="AF48">
        <f t="shared" si="8"/>
        <v>3</v>
      </c>
    </row>
    <row r="49" spans="1:32" x14ac:dyDescent="0.25">
      <c r="A49" s="20">
        <v>45379</v>
      </c>
      <c r="B49" s="2">
        <v>1035</v>
      </c>
      <c r="C49" s="19" t="s">
        <v>264</v>
      </c>
      <c r="D49" s="19" t="s">
        <v>2</v>
      </c>
      <c r="E49" s="19" t="s">
        <v>2</v>
      </c>
      <c r="F49" s="19" t="s">
        <v>265</v>
      </c>
      <c r="G49" s="19" t="s">
        <v>108</v>
      </c>
      <c r="H49" s="19" t="s">
        <v>266</v>
      </c>
      <c r="I49" s="19" t="s">
        <v>267</v>
      </c>
      <c r="J49" s="2" t="s">
        <v>2</v>
      </c>
      <c r="K49" s="20">
        <v>45379</v>
      </c>
      <c r="L49" s="20">
        <v>45385</v>
      </c>
      <c r="M49" s="22">
        <v>450</v>
      </c>
      <c r="N49" s="21">
        <v>394200</v>
      </c>
      <c r="O49" s="2" t="s">
        <v>76</v>
      </c>
      <c r="P49" s="2" t="s">
        <v>4</v>
      </c>
      <c r="Q49" s="2" t="s">
        <v>5</v>
      </c>
      <c r="R49" s="21">
        <f t="shared" si="0"/>
        <v>394200</v>
      </c>
      <c r="S49" s="21">
        <v>394200</v>
      </c>
      <c r="T49" s="5">
        <f t="shared" si="1"/>
        <v>0</v>
      </c>
      <c r="V49">
        <f t="shared" si="2"/>
        <v>3</v>
      </c>
      <c r="W49">
        <f t="shared" si="3"/>
        <v>3</v>
      </c>
      <c r="X49" s="5">
        <f t="shared" si="4"/>
        <v>0</v>
      </c>
      <c r="Y49" s="2" t="s">
        <v>6</v>
      </c>
      <c r="Z49" s="2" t="s">
        <v>2</v>
      </c>
      <c r="AA49">
        <v>698</v>
      </c>
      <c r="AC49">
        <f t="shared" si="5"/>
        <v>2024</v>
      </c>
      <c r="AD49">
        <f t="shared" si="6"/>
        <v>2024</v>
      </c>
      <c r="AE49">
        <f t="shared" si="7"/>
        <v>2024</v>
      </c>
      <c r="AF49">
        <f t="shared" si="8"/>
        <v>4</v>
      </c>
    </row>
    <row r="50" spans="1:32" x14ac:dyDescent="0.25">
      <c r="A50" s="20">
        <v>45392</v>
      </c>
      <c r="B50" s="2">
        <v>1036</v>
      </c>
      <c r="C50" s="19" t="s">
        <v>104</v>
      </c>
      <c r="D50" s="19" t="s">
        <v>2</v>
      </c>
      <c r="E50" s="19" t="s">
        <v>2</v>
      </c>
      <c r="F50" s="19" t="s">
        <v>87</v>
      </c>
      <c r="G50" s="19" t="s">
        <v>196</v>
      </c>
      <c r="H50" s="19" t="s">
        <v>268</v>
      </c>
      <c r="I50" s="19" t="s">
        <v>269</v>
      </c>
      <c r="J50" s="2" t="s">
        <v>2</v>
      </c>
      <c r="K50" s="20">
        <v>45392</v>
      </c>
      <c r="L50" s="20">
        <v>45393</v>
      </c>
      <c r="M50" s="22">
        <v>152</v>
      </c>
      <c r="N50" s="21">
        <v>135000</v>
      </c>
      <c r="O50" s="2" t="s">
        <v>76</v>
      </c>
      <c r="P50" s="2" t="s">
        <v>4</v>
      </c>
      <c r="Q50" s="2" t="s">
        <v>5</v>
      </c>
      <c r="R50" s="21">
        <f t="shared" si="0"/>
        <v>135000</v>
      </c>
      <c r="S50" s="21">
        <v>135000</v>
      </c>
      <c r="T50" s="5">
        <f t="shared" si="1"/>
        <v>0</v>
      </c>
      <c r="V50">
        <f t="shared" si="2"/>
        <v>4</v>
      </c>
      <c r="W50">
        <f t="shared" si="3"/>
        <v>4</v>
      </c>
      <c r="X50" s="5">
        <f t="shared" si="4"/>
        <v>0</v>
      </c>
      <c r="Y50" s="2" t="s">
        <v>6</v>
      </c>
      <c r="Z50" s="2" t="s">
        <v>2</v>
      </c>
      <c r="AA50">
        <v>700</v>
      </c>
      <c r="AC50">
        <f t="shared" si="5"/>
        <v>2024</v>
      </c>
      <c r="AD50">
        <f t="shared" si="6"/>
        <v>2024</v>
      </c>
      <c r="AE50">
        <f t="shared" si="7"/>
        <v>2024</v>
      </c>
      <c r="AF50">
        <f t="shared" si="8"/>
        <v>4</v>
      </c>
    </row>
    <row r="51" spans="1:32" x14ac:dyDescent="0.25">
      <c r="A51" s="20">
        <v>45392</v>
      </c>
      <c r="B51" s="2">
        <v>1037</v>
      </c>
      <c r="C51" s="19" t="s">
        <v>270</v>
      </c>
      <c r="D51" s="19" t="s">
        <v>2</v>
      </c>
      <c r="E51" s="19" t="s">
        <v>2</v>
      </c>
      <c r="F51" s="19" t="s">
        <v>87</v>
      </c>
      <c r="G51" s="19" t="s">
        <v>95</v>
      </c>
      <c r="H51" s="19" t="s">
        <v>271</v>
      </c>
      <c r="I51" s="19" t="s">
        <v>272</v>
      </c>
      <c r="J51" s="2" t="s">
        <v>2</v>
      </c>
      <c r="K51" s="20">
        <v>45393</v>
      </c>
      <c r="L51" s="20">
        <v>45393</v>
      </c>
      <c r="M51" s="22">
        <v>122</v>
      </c>
      <c r="N51" s="21">
        <v>108000</v>
      </c>
      <c r="O51" s="2" t="s">
        <v>76</v>
      </c>
      <c r="P51" s="2" t="s">
        <v>4</v>
      </c>
      <c r="Q51" s="2" t="s">
        <v>5</v>
      </c>
      <c r="R51" s="21">
        <f t="shared" si="0"/>
        <v>108000</v>
      </c>
      <c r="S51" s="21">
        <v>108000</v>
      </c>
      <c r="T51" s="5">
        <f t="shared" si="1"/>
        <v>0</v>
      </c>
      <c r="V51">
        <f t="shared" si="2"/>
        <v>4</v>
      </c>
      <c r="W51">
        <f t="shared" si="3"/>
        <v>4</v>
      </c>
      <c r="X51" s="5">
        <f t="shared" si="4"/>
        <v>0</v>
      </c>
      <c r="Y51" s="2" t="s">
        <v>6</v>
      </c>
      <c r="Z51" s="2" t="s">
        <v>2</v>
      </c>
      <c r="AA51">
        <v>702</v>
      </c>
      <c r="AC51">
        <f t="shared" si="5"/>
        <v>2024</v>
      </c>
      <c r="AD51">
        <f t="shared" si="6"/>
        <v>2024</v>
      </c>
      <c r="AE51">
        <f t="shared" si="7"/>
        <v>2024</v>
      </c>
      <c r="AF51">
        <f t="shared" si="8"/>
        <v>4</v>
      </c>
    </row>
    <row r="52" spans="1:32" x14ac:dyDescent="0.25">
      <c r="A52" s="20">
        <v>45393</v>
      </c>
      <c r="B52" s="2">
        <v>1038</v>
      </c>
      <c r="C52" s="19" t="s">
        <v>270</v>
      </c>
      <c r="D52" s="19" t="s">
        <v>2</v>
      </c>
      <c r="E52" s="19" t="s">
        <v>2</v>
      </c>
      <c r="F52" s="19" t="s">
        <v>273</v>
      </c>
      <c r="G52" s="19" t="s">
        <v>196</v>
      </c>
      <c r="H52" s="19" t="s">
        <v>274</v>
      </c>
      <c r="I52" s="19" t="s">
        <v>275</v>
      </c>
      <c r="J52" s="2" t="s">
        <v>2</v>
      </c>
      <c r="K52" s="20">
        <v>45393</v>
      </c>
      <c r="L52" s="20">
        <v>45393</v>
      </c>
      <c r="M52" s="22">
        <v>147</v>
      </c>
      <c r="N52" s="21">
        <v>130000</v>
      </c>
      <c r="O52" s="2" t="s">
        <v>76</v>
      </c>
      <c r="P52" s="2" t="s">
        <v>4</v>
      </c>
      <c r="Q52" s="2" t="s">
        <v>5</v>
      </c>
      <c r="R52" s="21">
        <f t="shared" si="0"/>
        <v>130000</v>
      </c>
      <c r="S52" s="21">
        <v>130000</v>
      </c>
      <c r="T52" s="5">
        <f t="shared" si="1"/>
        <v>0</v>
      </c>
      <c r="V52">
        <f t="shared" si="2"/>
        <v>4</v>
      </c>
      <c r="W52">
        <f t="shared" si="3"/>
        <v>4</v>
      </c>
      <c r="X52" s="5">
        <f t="shared" si="4"/>
        <v>0</v>
      </c>
      <c r="Y52" s="2" t="s">
        <v>6</v>
      </c>
      <c r="Z52" s="2" t="s">
        <v>2</v>
      </c>
      <c r="AA52">
        <v>701</v>
      </c>
      <c r="AC52">
        <f t="shared" si="5"/>
        <v>2024</v>
      </c>
      <c r="AD52">
        <f t="shared" si="6"/>
        <v>2024</v>
      </c>
      <c r="AE52">
        <f t="shared" si="7"/>
        <v>2024</v>
      </c>
      <c r="AF52">
        <f t="shared" si="8"/>
        <v>4</v>
      </c>
    </row>
    <row r="53" spans="1:32" x14ac:dyDescent="0.25">
      <c r="A53" s="20">
        <v>45399</v>
      </c>
      <c r="B53" s="2">
        <v>1039</v>
      </c>
      <c r="C53" s="19" t="s">
        <v>276</v>
      </c>
      <c r="D53" s="19" t="s">
        <v>2</v>
      </c>
      <c r="E53" s="19" t="s">
        <v>2</v>
      </c>
      <c r="F53" s="19" t="s">
        <v>87</v>
      </c>
      <c r="G53" s="19" t="s">
        <v>196</v>
      </c>
      <c r="H53" s="19" t="s">
        <v>277</v>
      </c>
      <c r="I53" s="19" t="s">
        <v>278</v>
      </c>
      <c r="J53" s="2" t="s">
        <v>2</v>
      </c>
      <c r="K53" s="20">
        <v>45400</v>
      </c>
      <c r="L53" s="20">
        <v>45404</v>
      </c>
      <c r="M53" s="22">
        <v>168</v>
      </c>
      <c r="N53" s="21">
        <v>149000</v>
      </c>
      <c r="O53" s="2" t="s">
        <v>76</v>
      </c>
      <c r="P53" s="2" t="s">
        <v>4</v>
      </c>
      <c r="Q53" s="2" t="s">
        <v>5</v>
      </c>
      <c r="R53" s="21">
        <f t="shared" si="0"/>
        <v>149000</v>
      </c>
      <c r="S53" s="21">
        <v>149000</v>
      </c>
      <c r="T53" s="5">
        <f t="shared" si="1"/>
        <v>0</v>
      </c>
      <c r="V53">
        <f t="shared" si="2"/>
        <v>4</v>
      </c>
      <c r="W53">
        <f t="shared" si="3"/>
        <v>4</v>
      </c>
      <c r="X53" s="5">
        <f t="shared" si="4"/>
        <v>0</v>
      </c>
      <c r="Y53" s="2" t="s">
        <v>6</v>
      </c>
      <c r="Z53" s="2" t="s">
        <v>2</v>
      </c>
      <c r="AA53">
        <v>704</v>
      </c>
      <c r="AC53">
        <f t="shared" si="5"/>
        <v>2024</v>
      </c>
      <c r="AD53">
        <f t="shared" si="6"/>
        <v>2024</v>
      </c>
      <c r="AE53">
        <f t="shared" si="7"/>
        <v>2024</v>
      </c>
      <c r="AF53">
        <f t="shared" si="8"/>
        <v>4</v>
      </c>
    </row>
    <row r="54" spans="1:32" x14ac:dyDescent="0.25">
      <c r="A54" s="20">
        <v>45399</v>
      </c>
      <c r="B54" s="2">
        <v>1040</v>
      </c>
      <c r="C54" s="19" t="s">
        <v>270</v>
      </c>
      <c r="D54" s="19" t="s">
        <v>2</v>
      </c>
      <c r="E54" s="19" t="s">
        <v>2</v>
      </c>
      <c r="F54" s="19" t="s">
        <v>87</v>
      </c>
      <c r="G54" s="19" t="s">
        <v>95</v>
      </c>
      <c r="H54" s="19" t="s">
        <v>271</v>
      </c>
      <c r="I54" s="19" t="s">
        <v>279</v>
      </c>
      <c r="J54" s="2" t="s">
        <v>2</v>
      </c>
      <c r="K54" s="20">
        <v>45399</v>
      </c>
      <c r="L54" s="20">
        <v>45428</v>
      </c>
      <c r="M54" s="22">
        <v>140</v>
      </c>
      <c r="N54" s="21">
        <v>112500</v>
      </c>
      <c r="O54" s="2" t="s">
        <v>76</v>
      </c>
      <c r="P54" s="2" t="s">
        <v>4</v>
      </c>
      <c r="Q54" s="2" t="s">
        <v>5</v>
      </c>
      <c r="R54" s="21">
        <f t="shared" si="0"/>
        <v>112500</v>
      </c>
      <c r="S54" s="21">
        <v>112500</v>
      </c>
      <c r="T54" s="5">
        <f t="shared" si="1"/>
        <v>0</v>
      </c>
      <c r="V54">
        <f t="shared" si="2"/>
        <v>4</v>
      </c>
      <c r="W54">
        <f t="shared" si="3"/>
        <v>4</v>
      </c>
      <c r="X54" s="5">
        <f t="shared" si="4"/>
        <v>0</v>
      </c>
      <c r="Y54" s="2" t="s">
        <v>6</v>
      </c>
      <c r="Z54" s="2" t="s">
        <v>2</v>
      </c>
      <c r="AA54">
        <v>714</v>
      </c>
      <c r="AC54">
        <f t="shared" si="5"/>
        <v>2024</v>
      </c>
      <c r="AD54">
        <f t="shared" si="6"/>
        <v>2024</v>
      </c>
      <c r="AE54">
        <f t="shared" si="7"/>
        <v>2024</v>
      </c>
      <c r="AF54">
        <f t="shared" si="8"/>
        <v>5</v>
      </c>
    </row>
    <row r="55" spans="1:32" x14ac:dyDescent="0.25">
      <c r="A55" s="20">
        <v>45404</v>
      </c>
      <c r="B55" s="2">
        <v>1041</v>
      </c>
      <c r="C55" s="19" t="s">
        <v>280</v>
      </c>
      <c r="D55" s="19" t="s">
        <v>2</v>
      </c>
      <c r="E55" s="19" t="s">
        <v>2</v>
      </c>
      <c r="F55" s="19" t="s">
        <v>87</v>
      </c>
      <c r="G55" s="19" t="s">
        <v>281</v>
      </c>
      <c r="H55" s="19" t="s">
        <v>282</v>
      </c>
      <c r="I55" s="19" t="s">
        <v>283</v>
      </c>
      <c r="J55" s="2" t="s">
        <v>2</v>
      </c>
      <c r="K55" s="20">
        <v>45404</v>
      </c>
      <c r="L55" s="20">
        <v>45404</v>
      </c>
      <c r="M55" s="22">
        <v>179</v>
      </c>
      <c r="N55" s="21">
        <v>160000</v>
      </c>
      <c r="O55" s="2" t="s">
        <v>76</v>
      </c>
      <c r="P55" s="2" t="s">
        <v>4</v>
      </c>
      <c r="Q55" s="2" t="s">
        <v>5</v>
      </c>
      <c r="R55" s="21">
        <f t="shared" si="0"/>
        <v>160000</v>
      </c>
      <c r="S55" s="21">
        <v>160000</v>
      </c>
      <c r="T55" s="5">
        <f t="shared" si="1"/>
        <v>0</v>
      </c>
      <c r="V55">
        <f t="shared" si="2"/>
        <v>4</v>
      </c>
      <c r="W55">
        <f t="shared" si="3"/>
        <v>4</v>
      </c>
      <c r="X55" s="5">
        <f t="shared" si="4"/>
        <v>0</v>
      </c>
      <c r="Y55" s="2" t="s">
        <v>6</v>
      </c>
      <c r="Z55" s="2" t="s">
        <v>2</v>
      </c>
      <c r="AA55">
        <v>703</v>
      </c>
      <c r="AC55">
        <f t="shared" si="5"/>
        <v>2024</v>
      </c>
      <c r="AD55">
        <f t="shared" si="6"/>
        <v>2024</v>
      </c>
      <c r="AE55">
        <f t="shared" si="7"/>
        <v>2024</v>
      </c>
      <c r="AF55">
        <f t="shared" si="8"/>
        <v>4</v>
      </c>
    </row>
    <row r="56" spans="1:32" x14ac:dyDescent="0.25">
      <c r="A56" s="20">
        <v>45405</v>
      </c>
      <c r="B56" s="2">
        <v>1042</v>
      </c>
      <c r="C56" s="19" t="s">
        <v>162</v>
      </c>
      <c r="D56" s="19" t="s">
        <v>2</v>
      </c>
      <c r="E56" s="19" t="s">
        <v>2</v>
      </c>
      <c r="F56" s="19" t="s">
        <v>284</v>
      </c>
      <c r="G56" s="19" t="s">
        <v>285</v>
      </c>
      <c r="H56" s="19" t="s">
        <v>286</v>
      </c>
      <c r="I56" s="19" t="s">
        <v>287</v>
      </c>
      <c r="J56" s="2" t="s">
        <v>2</v>
      </c>
      <c r="K56" s="20">
        <v>45405</v>
      </c>
      <c r="L56" s="20">
        <v>45405</v>
      </c>
      <c r="M56" s="22">
        <v>27</v>
      </c>
      <c r="N56" s="21">
        <v>25000</v>
      </c>
      <c r="O56" s="2" t="s">
        <v>76</v>
      </c>
      <c r="P56" s="2" t="s">
        <v>4</v>
      </c>
      <c r="Q56" s="2" t="s">
        <v>5</v>
      </c>
      <c r="R56" s="21">
        <f t="shared" si="0"/>
        <v>25000</v>
      </c>
      <c r="S56" s="21">
        <v>25000</v>
      </c>
      <c r="T56" s="5">
        <f t="shared" si="1"/>
        <v>0</v>
      </c>
      <c r="V56">
        <f t="shared" si="2"/>
        <v>4</v>
      </c>
      <c r="W56">
        <f t="shared" si="3"/>
        <v>4</v>
      </c>
      <c r="X56" s="5">
        <f t="shared" si="4"/>
        <v>0</v>
      </c>
      <c r="Y56" s="2" t="s">
        <v>6</v>
      </c>
      <c r="Z56" s="2" t="s">
        <v>2</v>
      </c>
      <c r="AA56">
        <v>705</v>
      </c>
      <c r="AC56">
        <f t="shared" si="5"/>
        <v>2024</v>
      </c>
      <c r="AD56">
        <f t="shared" si="6"/>
        <v>2024</v>
      </c>
      <c r="AE56">
        <f t="shared" si="7"/>
        <v>2024</v>
      </c>
      <c r="AF56">
        <f t="shared" si="8"/>
        <v>4</v>
      </c>
    </row>
    <row r="57" spans="1:32" x14ac:dyDescent="0.25">
      <c r="A57" s="20">
        <v>45406</v>
      </c>
      <c r="B57" s="2">
        <v>1043</v>
      </c>
      <c r="C57" s="19" t="s">
        <v>280</v>
      </c>
      <c r="D57" s="19" t="s">
        <v>2</v>
      </c>
      <c r="E57" s="19" t="s">
        <v>2</v>
      </c>
      <c r="F57" s="19" t="s">
        <v>87</v>
      </c>
      <c r="G57" s="19" t="s">
        <v>281</v>
      </c>
      <c r="H57" s="19" t="s">
        <v>288</v>
      </c>
      <c r="I57" s="19" t="s">
        <v>289</v>
      </c>
      <c r="J57" s="2" t="s">
        <v>2</v>
      </c>
      <c r="K57" s="20">
        <v>45406</v>
      </c>
      <c r="L57" s="20">
        <v>45406</v>
      </c>
      <c r="M57" s="22">
        <v>180</v>
      </c>
      <c r="N57" s="21">
        <v>160000</v>
      </c>
      <c r="O57" s="2" t="s">
        <v>76</v>
      </c>
      <c r="P57" s="2" t="s">
        <v>4</v>
      </c>
      <c r="Q57" s="2" t="s">
        <v>5</v>
      </c>
      <c r="R57" s="21">
        <f t="shared" si="0"/>
        <v>160000</v>
      </c>
      <c r="S57" s="21">
        <v>160000</v>
      </c>
      <c r="T57" s="5">
        <f t="shared" si="1"/>
        <v>0</v>
      </c>
      <c r="V57">
        <f t="shared" si="2"/>
        <v>4</v>
      </c>
      <c r="W57">
        <f t="shared" si="3"/>
        <v>4</v>
      </c>
      <c r="X57" s="5">
        <f t="shared" si="4"/>
        <v>0</v>
      </c>
      <c r="Y57" s="2" t="s">
        <v>6</v>
      </c>
      <c r="Z57" s="2" t="s">
        <v>2</v>
      </c>
      <c r="AA57">
        <v>706</v>
      </c>
      <c r="AC57">
        <f t="shared" si="5"/>
        <v>2024</v>
      </c>
      <c r="AD57">
        <f t="shared" si="6"/>
        <v>2024</v>
      </c>
      <c r="AE57">
        <f t="shared" si="7"/>
        <v>2024</v>
      </c>
      <c r="AF57">
        <f t="shared" si="8"/>
        <v>4</v>
      </c>
    </row>
    <row r="58" spans="1:32" x14ac:dyDescent="0.25">
      <c r="A58" s="20">
        <v>45407</v>
      </c>
      <c r="B58" s="2">
        <v>1044</v>
      </c>
      <c r="C58" s="19" t="s">
        <v>537</v>
      </c>
      <c r="D58" s="19" t="s">
        <v>2</v>
      </c>
      <c r="E58" s="19" t="s">
        <v>2</v>
      </c>
      <c r="F58" s="19" t="s">
        <v>87</v>
      </c>
      <c r="G58" s="19" t="s">
        <v>281</v>
      </c>
      <c r="H58" s="19" t="s">
        <v>290</v>
      </c>
      <c r="I58" s="19" t="s">
        <v>291</v>
      </c>
      <c r="J58" s="2" t="s">
        <v>2</v>
      </c>
      <c r="K58" s="20">
        <v>45407</v>
      </c>
      <c r="L58" s="20"/>
      <c r="M58" s="22">
        <v>190</v>
      </c>
      <c r="N58" s="21">
        <v>165000</v>
      </c>
      <c r="O58" s="2" t="s">
        <v>3</v>
      </c>
      <c r="P58" s="2" t="s">
        <v>129</v>
      </c>
      <c r="Q58" s="2" t="s">
        <v>98</v>
      </c>
      <c r="R58" s="21">
        <f t="shared" si="0"/>
        <v>0</v>
      </c>
      <c r="S58" s="21">
        <v>0</v>
      </c>
      <c r="T58" s="5">
        <f t="shared" si="1"/>
        <v>0</v>
      </c>
      <c r="V58">
        <f t="shared" si="2"/>
        <v>4</v>
      </c>
      <c r="W58">
        <f t="shared" si="3"/>
        <v>4</v>
      </c>
      <c r="X58" s="5">
        <f t="shared" si="4"/>
        <v>0</v>
      </c>
      <c r="Y58" s="2" t="s">
        <v>6</v>
      </c>
      <c r="Z58" s="2" t="s">
        <v>2</v>
      </c>
      <c r="AC58">
        <f t="shared" si="5"/>
        <v>2024</v>
      </c>
      <c r="AD58">
        <f t="shared" si="6"/>
        <v>2024</v>
      </c>
      <c r="AE58" t="str">
        <f t="shared" si="7"/>
        <v/>
      </c>
      <c r="AF58" t="str">
        <f t="shared" si="8"/>
        <v/>
      </c>
    </row>
    <row r="59" spans="1:32" x14ac:dyDescent="0.25">
      <c r="A59" s="20">
        <v>45408</v>
      </c>
      <c r="B59" s="2">
        <v>1045</v>
      </c>
      <c r="C59" s="19" t="s">
        <v>270</v>
      </c>
      <c r="D59" s="19" t="s">
        <v>2</v>
      </c>
      <c r="E59" s="19" t="s">
        <v>2</v>
      </c>
      <c r="F59" s="19" t="s">
        <v>87</v>
      </c>
      <c r="G59" s="19" t="s">
        <v>196</v>
      </c>
      <c r="H59" s="19" t="s">
        <v>292</v>
      </c>
      <c r="I59" s="19" t="s">
        <v>293</v>
      </c>
      <c r="J59" s="2" t="s">
        <v>2</v>
      </c>
      <c r="K59" s="20">
        <v>45418</v>
      </c>
      <c r="L59" s="20">
        <v>45419</v>
      </c>
      <c r="M59" s="22">
        <v>206</v>
      </c>
      <c r="N59" s="21">
        <v>166000</v>
      </c>
      <c r="O59" s="2" t="s">
        <v>76</v>
      </c>
      <c r="P59" s="2" t="s">
        <v>4</v>
      </c>
      <c r="Q59" s="2" t="s">
        <v>5</v>
      </c>
      <c r="R59" s="21">
        <f t="shared" si="0"/>
        <v>166000</v>
      </c>
      <c r="S59" s="21">
        <v>166000</v>
      </c>
      <c r="T59" s="5">
        <f t="shared" si="1"/>
        <v>0</v>
      </c>
      <c r="V59">
        <f t="shared" si="2"/>
        <v>5</v>
      </c>
      <c r="W59">
        <f t="shared" si="3"/>
        <v>4</v>
      </c>
      <c r="X59" s="5">
        <f t="shared" si="4"/>
        <v>0</v>
      </c>
      <c r="Y59" s="2" t="s">
        <v>6</v>
      </c>
      <c r="Z59" s="2" t="s">
        <v>2</v>
      </c>
      <c r="AA59">
        <v>710</v>
      </c>
      <c r="AC59">
        <f t="shared" si="5"/>
        <v>2024</v>
      </c>
      <c r="AD59">
        <f t="shared" si="6"/>
        <v>2024</v>
      </c>
      <c r="AE59">
        <f t="shared" si="7"/>
        <v>2024</v>
      </c>
      <c r="AF59">
        <f t="shared" si="8"/>
        <v>5</v>
      </c>
    </row>
    <row r="60" spans="1:32" x14ac:dyDescent="0.25">
      <c r="A60" s="20">
        <v>45408</v>
      </c>
      <c r="B60" s="2">
        <v>1046</v>
      </c>
      <c r="C60" s="19" t="s">
        <v>294</v>
      </c>
      <c r="D60" s="19" t="s">
        <v>2</v>
      </c>
      <c r="E60" s="19" t="s">
        <v>2</v>
      </c>
      <c r="F60" s="19" t="s">
        <v>87</v>
      </c>
      <c r="G60" s="19" t="s">
        <v>295</v>
      </c>
      <c r="H60" s="19" t="s">
        <v>296</v>
      </c>
      <c r="I60" s="19" t="s">
        <v>297</v>
      </c>
      <c r="J60" s="2" t="s">
        <v>2</v>
      </c>
      <c r="K60" s="20">
        <v>45411</v>
      </c>
      <c r="L60" s="20">
        <v>45411</v>
      </c>
      <c r="M60" s="22">
        <v>200</v>
      </c>
      <c r="N60" s="21">
        <v>179500</v>
      </c>
      <c r="O60" s="2" t="s">
        <v>76</v>
      </c>
      <c r="P60" s="2" t="s">
        <v>4</v>
      </c>
      <c r="Q60" s="2" t="s">
        <v>5</v>
      </c>
      <c r="R60" s="21">
        <f t="shared" si="0"/>
        <v>179500</v>
      </c>
      <c r="S60" s="21">
        <v>179500</v>
      </c>
      <c r="T60" s="5">
        <f t="shared" si="1"/>
        <v>0</v>
      </c>
      <c r="V60">
        <f t="shared" si="2"/>
        <v>4</v>
      </c>
      <c r="W60">
        <f t="shared" si="3"/>
        <v>4</v>
      </c>
      <c r="X60" s="5">
        <f t="shared" si="4"/>
        <v>0</v>
      </c>
      <c r="Y60" s="2" t="s">
        <v>6</v>
      </c>
      <c r="Z60" s="2" t="s">
        <v>2</v>
      </c>
      <c r="AA60">
        <v>707</v>
      </c>
      <c r="AC60">
        <f t="shared" si="5"/>
        <v>2024</v>
      </c>
      <c r="AD60">
        <f t="shared" si="6"/>
        <v>2024</v>
      </c>
      <c r="AE60">
        <f t="shared" si="7"/>
        <v>2024</v>
      </c>
      <c r="AF60">
        <f t="shared" si="8"/>
        <v>4</v>
      </c>
    </row>
    <row r="61" spans="1:32" x14ac:dyDescent="0.25">
      <c r="A61" s="20">
        <v>45412</v>
      </c>
      <c r="B61" s="2">
        <v>1047</v>
      </c>
      <c r="C61" s="19" t="s">
        <v>298</v>
      </c>
      <c r="D61" s="19" t="s">
        <v>2</v>
      </c>
      <c r="E61" s="19" t="s">
        <v>2</v>
      </c>
      <c r="F61" s="19" t="s">
        <v>299</v>
      </c>
      <c r="G61" s="19" t="s">
        <v>300</v>
      </c>
      <c r="H61" s="19" t="s">
        <v>301</v>
      </c>
      <c r="I61" s="19" t="s">
        <v>302</v>
      </c>
      <c r="J61" s="2" t="s">
        <v>2</v>
      </c>
      <c r="K61" s="20">
        <v>45412</v>
      </c>
      <c r="L61" s="20">
        <v>45412</v>
      </c>
      <c r="M61" s="22">
        <v>207</v>
      </c>
      <c r="N61" s="21">
        <v>166000</v>
      </c>
      <c r="O61" s="2" t="s">
        <v>76</v>
      </c>
      <c r="P61" s="2" t="s">
        <v>4</v>
      </c>
      <c r="Q61" s="2" t="s">
        <v>5</v>
      </c>
      <c r="R61" s="21">
        <f t="shared" si="0"/>
        <v>166000</v>
      </c>
      <c r="S61" s="21">
        <v>166000</v>
      </c>
      <c r="T61" s="5">
        <f t="shared" si="1"/>
        <v>0</v>
      </c>
      <c r="V61">
        <f t="shared" si="2"/>
        <v>4</v>
      </c>
      <c r="W61">
        <f t="shared" si="3"/>
        <v>4</v>
      </c>
      <c r="X61" s="5">
        <f t="shared" si="4"/>
        <v>0</v>
      </c>
      <c r="Y61" s="2" t="s">
        <v>6</v>
      </c>
      <c r="Z61" s="2" t="s">
        <v>2</v>
      </c>
      <c r="AA61">
        <v>708</v>
      </c>
      <c r="AC61">
        <f t="shared" si="5"/>
        <v>2024</v>
      </c>
      <c r="AD61">
        <f t="shared" si="6"/>
        <v>2024</v>
      </c>
      <c r="AE61">
        <f t="shared" si="7"/>
        <v>2024</v>
      </c>
      <c r="AF61">
        <f t="shared" si="8"/>
        <v>4</v>
      </c>
    </row>
    <row r="62" spans="1:32" x14ac:dyDescent="0.25">
      <c r="A62" s="20">
        <v>45414</v>
      </c>
      <c r="B62" s="2">
        <v>1048</v>
      </c>
      <c r="C62" s="19" t="s">
        <v>303</v>
      </c>
      <c r="D62" s="19" t="s">
        <v>2</v>
      </c>
      <c r="E62" s="19" t="s">
        <v>2</v>
      </c>
      <c r="F62" s="19" t="s">
        <v>304</v>
      </c>
      <c r="G62" s="19" t="s">
        <v>238</v>
      </c>
      <c r="H62" s="19" t="s">
        <v>305</v>
      </c>
      <c r="I62" s="19" t="s">
        <v>306</v>
      </c>
      <c r="J62" s="2" t="s">
        <v>2</v>
      </c>
      <c r="K62" s="20">
        <v>45435</v>
      </c>
      <c r="L62" s="20">
        <v>45435</v>
      </c>
      <c r="M62" s="22">
        <v>0</v>
      </c>
      <c r="N62" s="21">
        <v>0</v>
      </c>
      <c r="O62" s="2" t="s">
        <v>3</v>
      </c>
      <c r="P62" s="2" t="s">
        <v>307</v>
      </c>
      <c r="Q62" s="2" t="s">
        <v>5</v>
      </c>
      <c r="R62" s="21">
        <f t="shared" si="0"/>
        <v>0</v>
      </c>
      <c r="S62" s="21">
        <v>0</v>
      </c>
      <c r="T62" s="5">
        <f t="shared" si="1"/>
        <v>0</v>
      </c>
      <c r="V62">
        <f t="shared" si="2"/>
        <v>5</v>
      </c>
      <c r="W62">
        <f t="shared" si="3"/>
        <v>5</v>
      </c>
      <c r="X62" s="5">
        <f t="shared" si="4"/>
        <v>0</v>
      </c>
      <c r="Y62" s="2" t="s">
        <v>6</v>
      </c>
      <c r="Z62" s="2" t="s">
        <v>2</v>
      </c>
      <c r="AC62">
        <f t="shared" si="5"/>
        <v>2024</v>
      </c>
      <c r="AD62">
        <f t="shared" si="6"/>
        <v>2024</v>
      </c>
      <c r="AE62">
        <f t="shared" si="7"/>
        <v>2024</v>
      </c>
      <c r="AF62">
        <f t="shared" si="8"/>
        <v>5</v>
      </c>
    </row>
    <row r="63" spans="1:32" x14ac:dyDescent="0.25">
      <c r="A63" s="20">
        <v>45415</v>
      </c>
      <c r="B63" s="2">
        <v>1049</v>
      </c>
      <c r="C63" s="19" t="s">
        <v>298</v>
      </c>
      <c r="D63" s="19" t="s">
        <v>2</v>
      </c>
      <c r="E63" s="19" t="s">
        <v>2</v>
      </c>
      <c r="F63" s="19" t="s">
        <v>299</v>
      </c>
      <c r="G63" s="19" t="s">
        <v>300</v>
      </c>
      <c r="H63" s="19" t="s">
        <v>301</v>
      </c>
      <c r="I63" s="19" t="s">
        <v>308</v>
      </c>
      <c r="J63" s="2" t="s">
        <v>2</v>
      </c>
      <c r="K63" s="20">
        <v>45415</v>
      </c>
      <c r="L63" s="20">
        <v>45419</v>
      </c>
      <c r="M63" s="22">
        <v>180</v>
      </c>
      <c r="N63" s="21">
        <v>166000</v>
      </c>
      <c r="O63" s="2" t="s">
        <v>76</v>
      </c>
      <c r="P63" s="2" t="s">
        <v>4</v>
      </c>
      <c r="Q63" s="2" t="s">
        <v>5</v>
      </c>
      <c r="R63" s="21">
        <f t="shared" si="0"/>
        <v>166000</v>
      </c>
      <c r="S63" s="21">
        <v>166000</v>
      </c>
      <c r="T63" s="5">
        <f t="shared" si="1"/>
        <v>0</v>
      </c>
      <c r="V63">
        <f t="shared" si="2"/>
        <v>5</v>
      </c>
      <c r="W63">
        <f t="shared" si="3"/>
        <v>5</v>
      </c>
      <c r="X63" s="5">
        <f t="shared" si="4"/>
        <v>0</v>
      </c>
      <c r="Y63" s="2" t="s">
        <v>6</v>
      </c>
      <c r="Z63" s="2" t="s">
        <v>2</v>
      </c>
      <c r="AA63">
        <v>709</v>
      </c>
      <c r="AC63">
        <f t="shared" si="5"/>
        <v>2024</v>
      </c>
      <c r="AD63">
        <f t="shared" si="6"/>
        <v>2024</v>
      </c>
      <c r="AE63">
        <f t="shared" si="7"/>
        <v>2024</v>
      </c>
      <c r="AF63">
        <f t="shared" si="8"/>
        <v>5</v>
      </c>
    </row>
    <row r="64" spans="1:32" x14ac:dyDescent="0.25">
      <c r="A64" s="20">
        <v>45418</v>
      </c>
      <c r="B64" s="2">
        <v>1050</v>
      </c>
      <c r="C64" s="19" t="s">
        <v>0</v>
      </c>
      <c r="D64" s="19" t="s">
        <v>112</v>
      </c>
      <c r="E64" s="19" t="s">
        <v>2</v>
      </c>
      <c r="F64" s="19" t="s">
        <v>309</v>
      </c>
      <c r="G64" s="19" t="s">
        <v>310</v>
      </c>
      <c r="H64" s="19" t="s">
        <v>311</v>
      </c>
      <c r="I64" s="19" t="s">
        <v>312</v>
      </c>
      <c r="J64" s="2" t="s">
        <v>2</v>
      </c>
      <c r="K64" s="20">
        <v>45434</v>
      </c>
      <c r="L64" s="20">
        <v>45429</v>
      </c>
      <c r="M64" s="22">
        <v>805</v>
      </c>
      <c r="N64" s="21">
        <v>741900</v>
      </c>
      <c r="O64" s="2" t="s">
        <v>76</v>
      </c>
      <c r="P64" s="2" t="s">
        <v>4</v>
      </c>
      <c r="Q64" s="2" t="s">
        <v>5</v>
      </c>
      <c r="R64" s="21">
        <f t="shared" si="0"/>
        <v>741900</v>
      </c>
      <c r="S64" s="21">
        <v>741900</v>
      </c>
      <c r="T64" s="5">
        <f t="shared" si="1"/>
        <v>0</v>
      </c>
      <c r="V64">
        <f t="shared" si="2"/>
        <v>5</v>
      </c>
      <c r="W64">
        <f t="shared" si="3"/>
        <v>5</v>
      </c>
      <c r="X64" s="5">
        <f t="shared" si="4"/>
        <v>0</v>
      </c>
      <c r="Y64" s="2" t="s">
        <v>6</v>
      </c>
      <c r="Z64" s="2" t="s">
        <v>2</v>
      </c>
      <c r="AC64">
        <f t="shared" si="5"/>
        <v>2024</v>
      </c>
      <c r="AD64">
        <f t="shared" si="6"/>
        <v>2024</v>
      </c>
      <c r="AE64">
        <f t="shared" si="7"/>
        <v>2024</v>
      </c>
      <c r="AF64">
        <f t="shared" si="8"/>
        <v>5</v>
      </c>
    </row>
    <row r="65" spans="1:32" x14ac:dyDescent="0.25">
      <c r="A65" s="20">
        <v>45418</v>
      </c>
      <c r="B65" s="2">
        <v>1051</v>
      </c>
      <c r="C65" s="19" t="s">
        <v>0</v>
      </c>
      <c r="D65" s="19" t="s">
        <v>112</v>
      </c>
      <c r="E65" s="19" t="s">
        <v>2</v>
      </c>
      <c r="F65" s="19" t="s">
        <v>313</v>
      </c>
      <c r="G65" s="19" t="s">
        <v>310</v>
      </c>
      <c r="H65" s="19" t="s">
        <v>314</v>
      </c>
      <c r="I65" s="19" t="s">
        <v>315</v>
      </c>
      <c r="J65" s="2" t="s">
        <v>2</v>
      </c>
      <c r="K65" s="20">
        <v>45434</v>
      </c>
      <c r="L65" s="20">
        <v>45429</v>
      </c>
      <c r="M65" s="22">
        <v>325</v>
      </c>
      <c r="N65" s="21">
        <v>299820</v>
      </c>
      <c r="O65" s="2" t="s">
        <v>76</v>
      </c>
      <c r="P65" s="2" t="s">
        <v>4</v>
      </c>
      <c r="Q65" s="2" t="s">
        <v>5</v>
      </c>
      <c r="R65" s="21">
        <f t="shared" si="0"/>
        <v>299820</v>
      </c>
      <c r="S65" s="21">
        <v>299820</v>
      </c>
      <c r="T65" s="5">
        <f t="shared" si="1"/>
        <v>0</v>
      </c>
      <c r="V65">
        <f t="shared" si="2"/>
        <v>5</v>
      </c>
      <c r="W65">
        <f t="shared" si="3"/>
        <v>5</v>
      </c>
      <c r="X65" s="5">
        <f t="shared" si="4"/>
        <v>0</v>
      </c>
      <c r="Y65" s="2" t="s">
        <v>6</v>
      </c>
      <c r="Z65" s="2" t="s">
        <v>2</v>
      </c>
      <c r="AC65">
        <f t="shared" si="5"/>
        <v>2024</v>
      </c>
      <c r="AD65">
        <f t="shared" si="6"/>
        <v>2024</v>
      </c>
      <c r="AE65">
        <f t="shared" si="7"/>
        <v>2024</v>
      </c>
      <c r="AF65">
        <f t="shared" si="8"/>
        <v>5</v>
      </c>
    </row>
    <row r="66" spans="1:32" x14ac:dyDescent="0.25">
      <c r="A66" s="20">
        <v>45418</v>
      </c>
      <c r="B66" s="2">
        <v>1052</v>
      </c>
      <c r="C66" s="19" t="s">
        <v>316</v>
      </c>
      <c r="D66" s="19" t="s">
        <v>2</v>
      </c>
      <c r="E66" s="19" t="s">
        <v>2</v>
      </c>
      <c r="F66" s="19" t="s">
        <v>317</v>
      </c>
      <c r="G66" s="19" t="s">
        <v>318</v>
      </c>
      <c r="H66" s="19" t="s">
        <v>319</v>
      </c>
      <c r="I66" s="19" t="s">
        <v>320</v>
      </c>
      <c r="J66" s="2" t="s">
        <v>2</v>
      </c>
      <c r="K66" s="20">
        <v>45419</v>
      </c>
      <c r="L66" s="20">
        <v>45419</v>
      </c>
      <c r="M66" s="22">
        <v>16</v>
      </c>
      <c r="N66" s="21">
        <v>15000</v>
      </c>
      <c r="O66" s="2" t="s">
        <v>76</v>
      </c>
      <c r="P66" s="2" t="s">
        <v>321</v>
      </c>
      <c r="Q66" s="2" t="s">
        <v>5</v>
      </c>
      <c r="R66" s="21">
        <f t="shared" ref="R66:R129" si="9">IF(Q66="Aceptado",N66,0)</f>
        <v>15000</v>
      </c>
      <c r="S66" s="21">
        <v>15000</v>
      </c>
      <c r="T66" s="5">
        <f t="shared" ref="T66:T129" si="10">IFERROR(+T65+R66-S66,0)</f>
        <v>0</v>
      </c>
      <c r="V66">
        <f t="shared" ref="V66:V129" si="11">IF(NOT(ISBLANK(K66)),MONTH(K66),"")</f>
        <v>5</v>
      </c>
      <c r="W66">
        <f t="shared" ref="W66:W129" si="12">IF(NOT(ISBLANK(A66)),MONTH(A66),"")</f>
        <v>5</v>
      </c>
      <c r="X66" s="5">
        <f t="shared" ref="X66:X129" si="13">IFERROR(+S66-R66,0)</f>
        <v>0</v>
      </c>
      <c r="Y66" s="2" t="s">
        <v>6</v>
      </c>
      <c r="Z66" s="2" t="s">
        <v>2</v>
      </c>
      <c r="AC66">
        <f t="shared" ref="AC66:AC129" si="14">IF(NOT(ISBLANK(K66)),YEAR(K66),"")</f>
        <v>2024</v>
      </c>
      <c r="AD66">
        <f t="shared" ref="AD66:AD129" si="15">IF(NOT(ISBLANK(A66)),YEAR(A66),"")</f>
        <v>2024</v>
      </c>
      <c r="AE66">
        <f t="shared" ref="AE66:AE129" si="16">IF(NOT(ISBLANK(L66)),YEAR(L66),"")</f>
        <v>2024</v>
      </c>
      <c r="AF66">
        <f t="shared" ref="AF66:AF129" si="17">IF(NOT(ISBLANK(L66)),MONTH(L66),"")</f>
        <v>5</v>
      </c>
    </row>
    <row r="67" spans="1:32" x14ac:dyDescent="0.25">
      <c r="A67" s="20">
        <v>45420</v>
      </c>
      <c r="B67" s="2">
        <v>1053</v>
      </c>
      <c r="C67" s="19" t="s">
        <v>270</v>
      </c>
      <c r="D67" s="19" t="s">
        <v>2</v>
      </c>
      <c r="E67" s="19" t="s">
        <v>2</v>
      </c>
      <c r="F67" s="19" t="s">
        <v>87</v>
      </c>
      <c r="G67" s="19" t="s">
        <v>95</v>
      </c>
      <c r="H67" s="19" t="s">
        <v>322</v>
      </c>
      <c r="I67" s="19" t="s">
        <v>323</v>
      </c>
      <c r="J67" s="2" t="s">
        <v>2</v>
      </c>
      <c r="K67" s="20">
        <v>45420</v>
      </c>
      <c r="L67" s="20">
        <v>45421</v>
      </c>
      <c r="M67" s="22">
        <v>139</v>
      </c>
      <c r="N67" s="21">
        <v>112500</v>
      </c>
      <c r="O67" s="2" t="s">
        <v>76</v>
      </c>
      <c r="P67" s="2" t="s">
        <v>4</v>
      </c>
      <c r="Q67" s="2" t="s">
        <v>5</v>
      </c>
      <c r="R67" s="21">
        <f t="shared" si="9"/>
        <v>112500</v>
      </c>
      <c r="S67" s="21">
        <v>112500</v>
      </c>
      <c r="T67" s="5">
        <f t="shared" si="10"/>
        <v>0</v>
      </c>
      <c r="V67">
        <f t="shared" si="11"/>
        <v>5</v>
      </c>
      <c r="W67">
        <f t="shared" si="12"/>
        <v>5</v>
      </c>
      <c r="X67" s="5">
        <f t="shared" si="13"/>
        <v>0</v>
      </c>
      <c r="Y67" s="2" t="s">
        <v>6</v>
      </c>
      <c r="Z67" s="2" t="s">
        <v>2</v>
      </c>
      <c r="AA67">
        <v>712</v>
      </c>
      <c r="AC67">
        <f t="shared" si="14"/>
        <v>2024</v>
      </c>
      <c r="AD67">
        <f t="shared" si="15"/>
        <v>2024</v>
      </c>
      <c r="AE67">
        <f t="shared" si="16"/>
        <v>2024</v>
      </c>
      <c r="AF67">
        <f t="shared" si="17"/>
        <v>5</v>
      </c>
    </row>
    <row r="68" spans="1:32" x14ac:dyDescent="0.25">
      <c r="A68" s="20">
        <v>45420</v>
      </c>
      <c r="B68" s="2">
        <v>1054</v>
      </c>
      <c r="C68" s="19" t="s">
        <v>298</v>
      </c>
      <c r="D68" s="19" t="s">
        <v>2</v>
      </c>
      <c r="E68" s="19" t="s">
        <v>2</v>
      </c>
      <c r="F68" s="19" t="s">
        <v>87</v>
      </c>
      <c r="G68" s="19" t="s">
        <v>324</v>
      </c>
      <c r="H68" s="19" t="s">
        <v>325</v>
      </c>
      <c r="I68" s="19" t="s">
        <v>326</v>
      </c>
      <c r="J68" s="2" t="s">
        <v>2</v>
      </c>
      <c r="K68" s="20">
        <v>45420</v>
      </c>
      <c r="L68" s="20">
        <v>45420</v>
      </c>
      <c r="M68" s="22">
        <v>192</v>
      </c>
      <c r="N68" s="21">
        <v>173500</v>
      </c>
      <c r="O68" s="2" t="s">
        <v>76</v>
      </c>
      <c r="P68" s="2" t="s">
        <v>4</v>
      </c>
      <c r="Q68" s="2" t="s">
        <v>5</v>
      </c>
      <c r="R68" s="21">
        <f t="shared" si="9"/>
        <v>173500</v>
      </c>
      <c r="S68" s="21">
        <v>173500</v>
      </c>
      <c r="T68" s="5">
        <f t="shared" si="10"/>
        <v>0</v>
      </c>
      <c r="V68">
        <f t="shared" si="11"/>
        <v>5</v>
      </c>
      <c r="W68">
        <f t="shared" si="12"/>
        <v>5</v>
      </c>
      <c r="X68" s="5">
        <f t="shared" si="13"/>
        <v>0</v>
      </c>
      <c r="Y68" s="2" t="s">
        <v>6</v>
      </c>
      <c r="Z68" s="2" t="s">
        <v>2</v>
      </c>
      <c r="AA68">
        <v>711</v>
      </c>
      <c r="AC68">
        <f t="shared" si="14"/>
        <v>2024</v>
      </c>
      <c r="AD68">
        <f t="shared" si="15"/>
        <v>2024</v>
      </c>
      <c r="AE68">
        <f t="shared" si="16"/>
        <v>2024</v>
      </c>
      <c r="AF68">
        <f t="shared" si="17"/>
        <v>5</v>
      </c>
    </row>
    <row r="69" spans="1:32" x14ac:dyDescent="0.25">
      <c r="A69" s="20">
        <v>45421</v>
      </c>
      <c r="B69" s="2">
        <v>1055</v>
      </c>
      <c r="C69" s="19" t="s">
        <v>537</v>
      </c>
      <c r="D69" s="19" t="s">
        <v>2</v>
      </c>
      <c r="E69" s="19" t="s">
        <v>2</v>
      </c>
      <c r="F69" s="19" t="s">
        <v>327</v>
      </c>
      <c r="G69" s="19" t="s">
        <v>328</v>
      </c>
      <c r="H69" s="19" t="s">
        <v>329</v>
      </c>
      <c r="I69" s="19" t="s">
        <v>330</v>
      </c>
      <c r="J69" s="2" t="s">
        <v>2</v>
      </c>
      <c r="K69" s="20">
        <v>45425</v>
      </c>
      <c r="L69" s="20">
        <v>45425</v>
      </c>
      <c r="M69" s="22">
        <v>216</v>
      </c>
      <c r="N69" s="21">
        <v>175500</v>
      </c>
      <c r="O69" s="2" t="s">
        <v>76</v>
      </c>
      <c r="P69" s="2" t="s">
        <v>4</v>
      </c>
      <c r="Q69" s="2" t="s">
        <v>5</v>
      </c>
      <c r="R69" s="21">
        <f t="shared" si="9"/>
        <v>175500</v>
      </c>
      <c r="S69" s="21">
        <v>175500</v>
      </c>
      <c r="T69" s="5">
        <f t="shared" si="10"/>
        <v>0</v>
      </c>
      <c r="V69">
        <f t="shared" si="11"/>
        <v>5</v>
      </c>
      <c r="W69">
        <f t="shared" si="12"/>
        <v>5</v>
      </c>
      <c r="X69" s="5">
        <f t="shared" si="13"/>
        <v>0</v>
      </c>
      <c r="Y69" s="2" t="s">
        <v>6</v>
      </c>
      <c r="Z69" s="2" t="s">
        <v>2</v>
      </c>
      <c r="AA69">
        <v>713</v>
      </c>
      <c r="AC69">
        <f t="shared" si="14"/>
        <v>2024</v>
      </c>
      <c r="AD69">
        <f t="shared" si="15"/>
        <v>2024</v>
      </c>
      <c r="AE69">
        <f t="shared" si="16"/>
        <v>2024</v>
      </c>
      <c r="AF69">
        <f t="shared" si="17"/>
        <v>5</v>
      </c>
    </row>
    <row r="70" spans="1:32" x14ac:dyDescent="0.25">
      <c r="A70" s="20">
        <v>45422</v>
      </c>
      <c r="B70" s="2">
        <v>1056</v>
      </c>
      <c r="C70" s="19" t="s">
        <v>331</v>
      </c>
      <c r="D70" s="19" t="s">
        <v>2</v>
      </c>
      <c r="E70" s="19" t="s">
        <v>2</v>
      </c>
      <c r="F70" s="19" t="s">
        <v>317</v>
      </c>
      <c r="G70" s="19" t="s">
        <v>332</v>
      </c>
      <c r="H70" s="19" t="s">
        <v>333</v>
      </c>
      <c r="I70" s="19" t="s">
        <v>334</v>
      </c>
      <c r="J70" s="2" t="s">
        <v>2</v>
      </c>
      <c r="K70" s="20">
        <v>45441</v>
      </c>
      <c r="L70" s="20">
        <v>45427</v>
      </c>
      <c r="M70" s="22">
        <v>147</v>
      </c>
      <c r="N70" s="21">
        <v>133500</v>
      </c>
      <c r="O70" s="2" t="s">
        <v>76</v>
      </c>
      <c r="P70" s="2" t="s">
        <v>4</v>
      </c>
      <c r="Q70" s="2" t="s">
        <v>5</v>
      </c>
      <c r="R70" s="21">
        <f t="shared" si="9"/>
        <v>133500</v>
      </c>
      <c r="S70" s="21">
        <v>133500</v>
      </c>
      <c r="T70" s="5">
        <f t="shared" si="10"/>
        <v>0</v>
      </c>
      <c r="V70">
        <f t="shared" si="11"/>
        <v>5</v>
      </c>
      <c r="W70">
        <f t="shared" si="12"/>
        <v>5</v>
      </c>
      <c r="X70" s="5">
        <f t="shared" si="13"/>
        <v>0</v>
      </c>
      <c r="Y70" s="2" t="s">
        <v>6</v>
      </c>
      <c r="Z70" s="2" t="s">
        <v>2</v>
      </c>
      <c r="AA70">
        <v>719</v>
      </c>
      <c r="AC70">
        <f t="shared" si="14"/>
        <v>2024</v>
      </c>
      <c r="AD70">
        <f t="shared" si="15"/>
        <v>2024</v>
      </c>
      <c r="AE70">
        <f t="shared" si="16"/>
        <v>2024</v>
      </c>
      <c r="AF70">
        <f t="shared" si="17"/>
        <v>5</v>
      </c>
    </row>
    <row r="71" spans="1:32" x14ac:dyDescent="0.25">
      <c r="A71" s="20">
        <v>45423</v>
      </c>
      <c r="B71" s="2">
        <v>1057</v>
      </c>
      <c r="C71" s="19" t="s">
        <v>82</v>
      </c>
      <c r="D71" s="19" t="s">
        <v>2</v>
      </c>
      <c r="E71" s="19" t="s">
        <v>2</v>
      </c>
      <c r="F71" s="19" t="s">
        <v>107</v>
      </c>
      <c r="G71" s="19" t="s">
        <v>335</v>
      </c>
      <c r="H71" s="19" t="s">
        <v>336</v>
      </c>
      <c r="I71" s="19" t="s">
        <v>337</v>
      </c>
      <c r="J71" s="2" t="s">
        <v>2</v>
      </c>
      <c r="K71" s="20">
        <v>45437</v>
      </c>
      <c r="L71" s="20">
        <v>45427</v>
      </c>
      <c r="M71" s="22">
        <v>450</v>
      </c>
      <c r="N71" s="21">
        <v>409500</v>
      </c>
      <c r="O71" s="2" t="s">
        <v>76</v>
      </c>
      <c r="P71" s="2" t="s">
        <v>4</v>
      </c>
      <c r="Q71" s="2" t="s">
        <v>5</v>
      </c>
      <c r="R71" s="21">
        <f t="shared" si="9"/>
        <v>409500</v>
      </c>
      <c r="S71" s="21">
        <v>409500</v>
      </c>
      <c r="T71" s="5">
        <f t="shared" si="10"/>
        <v>0</v>
      </c>
      <c r="V71">
        <f t="shared" si="11"/>
        <v>5</v>
      </c>
      <c r="W71">
        <f t="shared" si="12"/>
        <v>5</v>
      </c>
      <c r="X71" s="5">
        <f t="shared" si="13"/>
        <v>0</v>
      </c>
      <c r="Y71" s="2" t="s">
        <v>6</v>
      </c>
      <c r="Z71" s="2" t="s">
        <v>2</v>
      </c>
      <c r="AA71">
        <v>718</v>
      </c>
      <c r="AC71">
        <f t="shared" si="14"/>
        <v>2024</v>
      </c>
      <c r="AD71">
        <f t="shared" si="15"/>
        <v>2024</v>
      </c>
      <c r="AE71">
        <f t="shared" si="16"/>
        <v>2024</v>
      </c>
      <c r="AF71">
        <f t="shared" si="17"/>
        <v>5</v>
      </c>
    </row>
    <row r="72" spans="1:32" x14ac:dyDescent="0.25">
      <c r="A72" s="20">
        <v>45427</v>
      </c>
      <c r="B72" s="2">
        <v>1058</v>
      </c>
      <c r="C72" s="19" t="s">
        <v>0</v>
      </c>
      <c r="D72" s="19" t="s">
        <v>112</v>
      </c>
      <c r="E72" s="19" t="s">
        <v>338</v>
      </c>
      <c r="F72" s="19" t="s">
        <v>339</v>
      </c>
      <c r="G72" s="19" t="s">
        <v>340</v>
      </c>
      <c r="H72" s="19" t="s">
        <v>341</v>
      </c>
      <c r="I72" s="19" t="s">
        <v>342</v>
      </c>
      <c r="J72" s="2" t="s">
        <v>343</v>
      </c>
      <c r="K72" s="20">
        <v>45427</v>
      </c>
      <c r="L72" s="20">
        <v>45429</v>
      </c>
      <c r="M72" s="22">
        <v>515</v>
      </c>
      <c r="N72" s="21">
        <v>470859</v>
      </c>
      <c r="O72" s="2" t="s">
        <v>76</v>
      </c>
      <c r="P72" s="2" t="s">
        <v>4</v>
      </c>
      <c r="Q72" s="2" t="s">
        <v>5</v>
      </c>
      <c r="R72" s="21">
        <f t="shared" si="9"/>
        <v>470859</v>
      </c>
      <c r="S72" s="21">
        <v>470859</v>
      </c>
      <c r="T72" s="5">
        <f t="shared" si="10"/>
        <v>0</v>
      </c>
      <c r="V72">
        <f t="shared" si="11"/>
        <v>5</v>
      </c>
      <c r="W72">
        <f t="shared" si="12"/>
        <v>5</v>
      </c>
      <c r="X72" s="5">
        <f t="shared" si="13"/>
        <v>0</v>
      </c>
      <c r="Y72" s="2" t="s">
        <v>6</v>
      </c>
      <c r="Z72" s="2" t="s">
        <v>2</v>
      </c>
      <c r="AC72">
        <f t="shared" si="14"/>
        <v>2024</v>
      </c>
      <c r="AD72">
        <f t="shared" si="15"/>
        <v>2024</v>
      </c>
      <c r="AE72">
        <f t="shared" si="16"/>
        <v>2024</v>
      </c>
      <c r="AF72">
        <f t="shared" si="17"/>
        <v>5</v>
      </c>
    </row>
    <row r="73" spans="1:32" x14ac:dyDescent="0.25">
      <c r="A73" s="20">
        <v>45427</v>
      </c>
      <c r="B73" s="2">
        <v>1059</v>
      </c>
      <c r="C73" s="19" t="s">
        <v>344</v>
      </c>
      <c r="D73" s="19" t="s">
        <v>2</v>
      </c>
      <c r="E73" s="19" t="s">
        <v>2</v>
      </c>
      <c r="F73" s="19" t="s">
        <v>345</v>
      </c>
      <c r="G73" s="19" t="s">
        <v>346</v>
      </c>
      <c r="H73" s="19" t="s">
        <v>347</v>
      </c>
      <c r="I73" s="19" t="s">
        <v>348</v>
      </c>
      <c r="J73" s="2" t="s">
        <v>2</v>
      </c>
      <c r="K73" s="20">
        <v>45428</v>
      </c>
      <c r="L73" s="20">
        <v>45432</v>
      </c>
      <c r="M73" s="22">
        <v>104</v>
      </c>
      <c r="N73" s="21">
        <v>95000</v>
      </c>
      <c r="O73" s="2" t="s">
        <v>76</v>
      </c>
      <c r="P73" s="2" t="s">
        <v>4</v>
      </c>
      <c r="Q73" s="2" t="s">
        <v>5</v>
      </c>
      <c r="R73" s="21">
        <f t="shared" si="9"/>
        <v>95000</v>
      </c>
      <c r="S73" s="21">
        <v>95000</v>
      </c>
      <c r="T73" s="5">
        <f t="shared" si="10"/>
        <v>0</v>
      </c>
      <c r="V73">
        <f t="shared" si="11"/>
        <v>5</v>
      </c>
      <c r="W73">
        <f t="shared" si="12"/>
        <v>5</v>
      </c>
      <c r="X73" s="5">
        <f t="shared" si="13"/>
        <v>0</v>
      </c>
      <c r="Y73" s="2" t="s">
        <v>6</v>
      </c>
      <c r="Z73" s="2" t="s">
        <v>2</v>
      </c>
      <c r="AC73">
        <f t="shared" si="14"/>
        <v>2024</v>
      </c>
      <c r="AD73">
        <f t="shared" si="15"/>
        <v>2024</v>
      </c>
      <c r="AE73">
        <f t="shared" si="16"/>
        <v>2024</v>
      </c>
      <c r="AF73">
        <f t="shared" si="17"/>
        <v>5</v>
      </c>
    </row>
    <row r="74" spans="1:32" x14ac:dyDescent="0.25">
      <c r="A74" s="20">
        <v>45427</v>
      </c>
      <c r="B74" s="2">
        <v>1060</v>
      </c>
      <c r="C74" s="19" t="s">
        <v>136</v>
      </c>
      <c r="D74" s="19" t="s">
        <v>2</v>
      </c>
      <c r="E74" s="19" t="s">
        <v>2</v>
      </c>
      <c r="F74" s="19" t="s">
        <v>204</v>
      </c>
      <c r="G74" s="19" t="s">
        <v>92</v>
      </c>
      <c r="H74" s="19" t="s">
        <v>205</v>
      </c>
      <c r="I74" s="19" t="s">
        <v>349</v>
      </c>
      <c r="J74" s="2" t="s">
        <v>2</v>
      </c>
      <c r="K74" s="20">
        <v>45427</v>
      </c>
      <c r="L74" s="20">
        <v>45444</v>
      </c>
      <c r="M74" s="22">
        <v>0</v>
      </c>
      <c r="N74" s="21">
        <v>0</v>
      </c>
      <c r="O74" s="2" t="s">
        <v>76</v>
      </c>
      <c r="P74" s="2" t="s">
        <v>307</v>
      </c>
      <c r="Q74" s="2" t="s">
        <v>5</v>
      </c>
      <c r="R74" s="21">
        <f t="shared" si="9"/>
        <v>0</v>
      </c>
      <c r="S74" s="21">
        <v>0</v>
      </c>
      <c r="T74" s="5">
        <f t="shared" si="10"/>
        <v>0</v>
      </c>
      <c r="V74">
        <f t="shared" si="11"/>
        <v>5</v>
      </c>
      <c r="W74">
        <f t="shared" si="12"/>
        <v>5</v>
      </c>
      <c r="X74" s="5">
        <f t="shared" si="13"/>
        <v>0</v>
      </c>
      <c r="Y74" s="2" t="s">
        <v>6</v>
      </c>
      <c r="Z74" s="2" t="s">
        <v>2</v>
      </c>
      <c r="AC74">
        <f t="shared" si="14"/>
        <v>2024</v>
      </c>
      <c r="AD74">
        <f t="shared" si="15"/>
        <v>2024</v>
      </c>
      <c r="AE74">
        <f t="shared" si="16"/>
        <v>2024</v>
      </c>
      <c r="AF74">
        <f t="shared" si="17"/>
        <v>6</v>
      </c>
    </row>
    <row r="75" spans="1:32" x14ac:dyDescent="0.25">
      <c r="A75" s="20">
        <v>45427</v>
      </c>
      <c r="B75" s="2">
        <v>1061</v>
      </c>
      <c r="C75" s="19" t="s">
        <v>136</v>
      </c>
      <c r="D75" s="19" t="s">
        <v>2</v>
      </c>
      <c r="E75" s="19" t="s">
        <v>2</v>
      </c>
      <c r="F75" s="19" t="s">
        <v>91</v>
      </c>
      <c r="G75" s="19" t="s">
        <v>92</v>
      </c>
      <c r="H75" s="19" t="s">
        <v>93</v>
      </c>
      <c r="I75" s="19" t="s">
        <v>350</v>
      </c>
      <c r="J75" s="2" t="s">
        <v>2</v>
      </c>
      <c r="K75" s="20">
        <v>45427</v>
      </c>
      <c r="L75" s="20">
        <v>45427</v>
      </c>
      <c r="M75" s="22">
        <v>54</v>
      </c>
      <c r="N75" s="21">
        <v>48500</v>
      </c>
      <c r="O75" s="2" t="s">
        <v>76</v>
      </c>
      <c r="P75" s="2" t="s">
        <v>4</v>
      </c>
      <c r="Q75" s="2" t="s">
        <v>5</v>
      </c>
      <c r="R75" s="21">
        <f t="shared" si="9"/>
        <v>48500</v>
      </c>
      <c r="S75" s="21">
        <v>48500</v>
      </c>
      <c r="T75" s="5">
        <f t="shared" si="10"/>
        <v>0</v>
      </c>
      <c r="V75">
        <f t="shared" si="11"/>
        <v>5</v>
      </c>
      <c r="W75">
        <f t="shared" si="12"/>
        <v>5</v>
      </c>
      <c r="X75" s="5">
        <f t="shared" si="13"/>
        <v>0</v>
      </c>
      <c r="Y75" s="2" t="s">
        <v>6</v>
      </c>
      <c r="Z75" s="2" t="s">
        <v>2</v>
      </c>
      <c r="AA75">
        <v>716</v>
      </c>
      <c r="AC75">
        <f t="shared" si="14"/>
        <v>2024</v>
      </c>
      <c r="AD75">
        <f t="shared" si="15"/>
        <v>2024</v>
      </c>
      <c r="AE75">
        <f t="shared" si="16"/>
        <v>2024</v>
      </c>
      <c r="AF75">
        <f t="shared" si="17"/>
        <v>5</v>
      </c>
    </row>
    <row r="76" spans="1:32" x14ac:dyDescent="0.25">
      <c r="A76" s="20">
        <v>45428</v>
      </c>
      <c r="B76" s="2">
        <v>1062</v>
      </c>
      <c r="C76" s="19" t="s">
        <v>298</v>
      </c>
      <c r="D76" s="19" t="s">
        <v>2</v>
      </c>
      <c r="E76" s="19" t="s">
        <v>2</v>
      </c>
      <c r="F76" s="19" t="s">
        <v>351</v>
      </c>
      <c r="G76" s="19" t="s">
        <v>352</v>
      </c>
      <c r="H76" s="19" t="s">
        <v>353</v>
      </c>
      <c r="I76" s="19" t="s">
        <v>354</v>
      </c>
      <c r="J76" s="2" t="s">
        <v>2</v>
      </c>
      <c r="K76" s="20">
        <v>45428</v>
      </c>
      <c r="L76" s="20">
        <v>45432</v>
      </c>
      <c r="M76" s="22">
        <v>203</v>
      </c>
      <c r="N76" s="21">
        <v>166500</v>
      </c>
      <c r="O76" s="2" t="s">
        <v>76</v>
      </c>
      <c r="P76" s="2" t="s">
        <v>4</v>
      </c>
      <c r="Q76" s="2" t="s">
        <v>5</v>
      </c>
      <c r="R76" s="21">
        <f t="shared" si="9"/>
        <v>166500</v>
      </c>
      <c r="S76" s="21">
        <v>166500</v>
      </c>
      <c r="T76" s="5">
        <f t="shared" si="10"/>
        <v>0</v>
      </c>
      <c r="V76">
        <f t="shared" si="11"/>
        <v>5</v>
      </c>
      <c r="W76">
        <f t="shared" si="12"/>
        <v>5</v>
      </c>
      <c r="X76" s="5">
        <f t="shared" si="13"/>
        <v>0</v>
      </c>
      <c r="Y76" s="2" t="s">
        <v>6</v>
      </c>
      <c r="Z76" s="2" t="s">
        <v>2</v>
      </c>
      <c r="AA76">
        <v>715</v>
      </c>
      <c r="AC76">
        <f t="shared" si="14"/>
        <v>2024</v>
      </c>
      <c r="AD76">
        <f t="shared" si="15"/>
        <v>2024</v>
      </c>
      <c r="AE76">
        <f t="shared" si="16"/>
        <v>2024</v>
      </c>
      <c r="AF76">
        <f t="shared" si="17"/>
        <v>5</v>
      </c>
    </row>
    <row r="77" spans="1:32" x14ac:dyDescent="0.25">
      <c r="A77" s="20">
        <v>45428</v>
      </c>
      <c r="B77" s="2">
        <v>1063</v>
      </c>
      <c r="C77" s="19" t="s">
        <v>355</v>
      </c>
      <c r="D77" s="19" t="s">
        <v>2</v>
      </c>
      <c r="E77" s="19" t="s">
        <v>2</v>
      </c>
      <c r="F77" s="19" t="s">
        <v>356</v>
      </c>
      <c r="G77" s="19" t="s">
        <v>357</v>
      </c>
      <c r="H77" s="19" t="s">
        <v>358</v>
      </c>
      <c r="I77" s="19" t="s">
        <v>359</v>
      </c>
      <c r="J77" s="2" t="s">
        <v>2</v>
      </c>
      <c r="K77" s="20">
        <v>45441</v>
      </c>
      <c r="L77" s="20">
        <v>45441</v>
      </c>
      <c r="M77" s="22">
        <v>96</v>
      </c>
      <c r="N77" s="21">
        <v>96450</v>
      </c>
      <c r="O77" s="2" t="s">
        <v>76</v>
      </c>
      <c r="P77" s="2" t="s">
        <v>4</v>
      </c>
      <c r="Q77" s="2" t="s">
        <v>5</v>
      </c>
      <c r="R77" s="21">
        <f t="shared" si="9"/>
        <v>96450</v>
      </c>
      <c r="S77" s="21">
        <v>96450</v>
      </c>
      <c r="T77" s="5">
        <f t="shared" si="10"/>
        <v>0</v>
      </c>
      <c r="V77">
        <f t="shared" si="11"/>
        <v>5</v>
      </c>
      <c r="W77">
        <f t="shared" si="12"/>
        <v>5</v>
      </c>
      <c r="X77" s="5">
        <f t="shared" si="13"/>
        <v>0</v>
      </c>
      <c r="Y77" s="2" t="s">
        <v>6</v>
      </c>
      <c r="Z77" s="2" t="s">
        <v>2</v>
      </c>
      <c r="AA77">
        <v>720</v>
      </c>
      <c r="AC77">
        <f t="shared" si="14"/>
        <v>2024</v>
      </c>
      <c r="AD77">
        <f t="shared" si="15"/>
        <v>2024</v>
      </c>
      <c r="AE77">
        <f t="shared" si="16"/>
        <v>2024</v>
      </c>
      <c r="AF77">
        <f t="shared" si="17"/>
        <v>5</v>
      </c>
    </row>
    <row r="78" spans="1:32" x14ac:dyDescent="0.25">
      <c r="A78" s="20">
        <v>45429</v>
      </c>
      <c r="B78" s="2">
        <v>1064</v>
      </c>
      <c r="C78" s="19" t="s">
        <v>298</v>
      </c>
      <c r="D78" s="19" t="s">
        <v>2</v>
      </c>
      <c r="E78" s="19" t="s">
        <v>2</v>
      </c>
      <c r="F78" s="19" t="s">
        <v>360</v>
      </c>
      <c r="G78" s="19" t="s">
        <v>352</v>
      </c>
      <c r="H78" s="19" t="s">
        <v>361</v>
      </c>
      <c r="I78" s="19" t="s">
        <v>362</v>
      </c>
      <c r="J78" s="2" t="s">
        <v>2</v>
      </c>
      <c r="K78" s="20">
        <v>45432</v>
      </c>
      <c r="L78" s="20">
        <v>45432</v>
      </c>
      <c r="M78" s="22">
        <v>160</v>
      </c>
      <c r="N78" s="21">
        <v>130500</v>
      </c>
      <c r="O78" s="2" t="s">
        <v>76</v>
      </c>
      <c r="P78" s="2" t="s">
        <v>4</v>
      </c>
      <c r="Q78" s="2" t="s">
        <v>5</v>
      </c>
      <c r="R78" s="21">
        <f t="shared" si="9"/>
        <v>130500</v>
      </c>
      <c r="S78" s="21">
        <v>130500</v>
      </c>
      <c r="T78" s="5">
        <f t="shared" si="10"/>
        <v>0</v>
      </c>
      <c r="V78">
        <f t="shared" si="11"/>
        <v>5</v>
      </c>
      <c r="W78">
        <f t="shared" si="12"/>
        <v>5</v>
      </c>
      <c r="X78" s="5">
        <f t="shared" si="13"/>
        <v>0</v>
      </c>
      <c r="Y78" s="2" t="s">
        <v>6</v>
      </c>
      <c r="Z78" s="2" t="s">
        <v>2</v>
      </c>
      <c r="AA78">
        <v>715</v>
      </c>
      <c r="AC78">
        <f t="shared" si="14"/>
        <v>2024</v>
      </c>
      <c r="AD78">
        <f t="shared" si="15"/>
        <v>2024</v>
      </c>
      <c r="AE78">
        <f t="shared" si="16"/>
        <v>2024</v>
      </c>
      <c r="AF78">
        <f t="shared" si="17"/>
        <v>5</v>
      </c>
    </row>
    <row r="79" spans="1:32" x14ac:dyDescent="0.25">
      <c r="A79" s="20">
        <v>45433</v>
      </c>
      <c r="B79" s="2">
        <v>1065</v>
      </c>
      <c r="C79" s="19" t="s">
        <v>344</v>
      </c>
      <c r="D79" s="19" t="s">
        <v>2</v>
      </c>
      <c r="E79" s="19" t="s">
        <v>2</v>
      </c>
      <c r="F79" s="19" t="s">
        <v>363</v>
      </c>
      <c r="G79" s="19" t="s">
        <v>364</v>
      </c>
      <c r="H79" s="19" t="s">
        <v>365</v>
      </c>
      <c r="I79" s="19" t="s">
        <v>366</v>
      </c>
      <c r="J79" s="2" t="s">
        <v>2</v>
      </c>
      <c r="K79" s="20">
        <v>45435</v>
      </c>
      <c r="L79" s="20">
        <v>45433</v>
      </c>
      <c r="M79" s="22">
        <v>140</v>
      </c>
      <c r="N79" s="21">
        <v>127500</v>
      </c>
      <c r="O79" s="2" t="s">
        <v>76</v>
      </c>
      <c r="P79" s="2" t="s">
        <v>4</v>
      </c>
      <c r="Q79" s="2" t="s">
        <v>5</v>
      </c>
      <c r="R79" s="21">
        <f t="shared" si="9"/>
        <v>127500</v>
      </c>
      <c r="S79" s="21">
        <v>127500</v>
      </c>
      <c r="T79" s="5">
        <f t="shared" si="10"/>
        <v>0</v>
      </c>
      <c r="V79">
        <f t="shared" si="11"/>
        <v>5</v>
      </c>
      <c r="W79">
        <f t="shared" si="12"/>
        <v>5</v>
      </c>
      <c r="X79" s="5">
        <f t="shared" si="13"/>
        <v>0</v>
      </c>
      <c r="Y79" s="2" t="s">
        <v>6</v>
      </c>
      <c r="Z79" s="2" t="s">
        <v>2</v>
      </c>
      <c r="AA79">
        <v>717</v>
      </c>
      <c r="AC79">
        <f t="shared" si="14"/>
        <v>2024</v>
      </c>
      <c r="AD79">
        <f t="shared" si="15"/>
        <v>2024</v>
      </c>
      <c r="AE79">
        <f t="shared" si="16"/>
        <v>2024</v>
      </c>
      <c r="AF79">
        <f t="shared" si="17"/>
        <v>5</v>
      </c>
    </row>
    <row r="80" spans="1:32" x14ac:dyDescent="0.25">
      <c r="A80" s="20">
        <v>45433.125</v>
      </c>
      <c r="B80" s="2">
        <v>1066</v>
      </c>
      <c r="C80" s="19" t="s">
        <v>270</v>
      </c>
      <c r="D80" s="19" t="s">
        <v>2</v>
      </c>
      <c r="E80" s="19" t="s">
        <v>2</v>
      </c>
      <c r="F80" s="19" t="s">
        <v>87</v>
      </c>
      <c r="G80" s="19" t="s">
        <v>95</v>
      </c>
      <c r="H80" s="19" t="s">
        <v>105</v>
      </c>
      <c r="I80" s="19" t="s">
        <v>367</v>
      </c>
      <c r="J80" s="2" t="s">
        <v>2</v>
      </c>
      <c r="K80" s="20">
        <v>45433.125</v>
      </c>
      <c r="L80" s="20"/>
      <c r="M80" s="22">
        <v>152</v>
      </c>
      <c r="N80" s="21">
        <v>137500</v>
      </c>
      <c r="O80" s="2" t="s">
        <v>3</v>
      </c>
      <c r="P80" s="2" t="s">
        <v>4</v>
      </c>
      <c r="Q80" s="2" t="s">
        <v>98</v>
      </c>
      <c r="R80" s="21">
        <f t="shared" si="9"/>
        <v>0</v>
      </c>
      <c r="S80" s="21">
        <v>0</v>
      </c>
      <c r="T80" s="5">
        <f t="shared" si="10"/>
        <v>0</v>
      </c>
      <c r="V80">
        <f t="shared" si="11"/>
        <v>5</v>
      </c>
      <c r="W80">
        <f t="shared" si="12"/>
        <v>5</v>
      </c>
      <c r="X80" s="5">
        <f t="shared" si="13"/>
        <v>0</v>
      </c>
      <c r="Y80" s="2" t="s">
        <v>6</v>
      </c>
      <c r="Z80" s="2" t="s">
        <v>2</v>
      </c>
      <c r="AC80">
        <f t="shared" si="14"/>
        <v>2024</v>
      </c>
      <c r="AD80">
        <f t="shared" si="15"/>
        <v>2024</v>
      </c>
      <c r="AE80" t="str">
        <f t="shared" si="16"/>
        <v/>
      </c>
      <c r="AF80" t="str">
        <f t="shared" si="17"/>
        <v/>
      </c>
    </row>
    <row r="81" spans="1:32" x14ac:dyDescent="0.25">
      <c r="A81" s="20">
        <v>45441</v>
      </c>
      <c r="B81" s="2">
        <v>1067</v>
      </c>
      <c r="C81" s="19" t="s">
        <v>368</v>
      </c>
      <c r="D81" s="19" t="s">
        <v>2</v>
      </c>
      <c r="E81" s="19" t="s">
        <v>2</v>
      </c>
      <c r="F81" s="19" t="s">
        <v>369</v>
      </c>
      <c r="G81" s="19" t="s">
        <v>370</v>
      </c>
      <c r="H81" s="19" t="s">
        <v>371</v>
      </c>
      <c r="I81" s="19" t="s">
        <v>372</v>
      </c>
      <c r="J81" s="2" t="s">
        <v>2</v>
      </c>
      <c r="K81" s="20">
        <v>45441</v>
      </c>
      <c r="L81" s="20">
        <v>45446</v>
      </c>
      <c r="M81" s="22">
        <v>200</v>
      </c>
      <c r="N81" s="21">
        <v>186000</v>
      </c>
      <c r="O81" s="2" t="s">
        <v>76</v>
      </c>
      <c r="P81" s="2" t="s">
        <v>4</v>
      </c>
      <c r="Q81" s="2" t="s">
        <v>5</v>
      </c>
      <c r="R81" s="21">
        <f t="shared" si="9"/>
        <v>186000</v>
      </c>
      <c r="S81" s="21">
        <v>186000</v>
      </c>
      <c r="T81" s="5">
        <f t="shared" si="10"/>
        <v>0</v>
      </c>
      <c r="V81">
        <f t="shared" si="11"/>
        <v>5</v>
      </c>
      <c r="W81">
        <f t="shared" si="12"/>
        <v>5</v>
      </c>
      <c r="X81" s="5">
        <f t="shared" si="13"/>
        <v>0</v>
      </c>
      <c r="Y81" s="2" t="s">
        <v>6</v>
      </c>
      <c r="Z81" s="2" t="s">
        <v>2</v>
      </c>
      <c r="AA81">
        <v>721</v>
      </c>
      <c r="AC81">
        <f t="shared" si="14"/>
        <v>2024</v>
      </c>
      <c r="AD81">
        <f t="shared" si="15"/>
        <v>2024</v>
      </c>
      <c r="AE81">
        <f t="shared" si="16"/>
        <v>2024</v>
      </c>
      <c r="AF81">
        <f t="shared" si="17"/>
        <v>6</v>
      </c>
    </row>
    <row r="82" spans="1:32" x14ac:dyDescent="0.25">
      <c r="A82" s="20">
        <v>45441</v>
      </c>
      <c r="B82" s="2">
        <v>1068</v>
      </c>
      <c r="C82" s="19" t="s">
        <v>373</v>
      </c>
      <c r="D82" s="19" t="s">
        <v>2</v>
      </c>
      <c r="E82" s="19" t="s">
        <v>2</v>
      </c>
      <c r="F82" s="19" t="s">
        <v>87</v>
      </c>
      <c r="G82" s="19" t="s">
        <v>352</v>
      </c>
      <c r="H82" s="19" t="s">
        <v>374</v>
      </c>
      <c r="I82" s="19" t="s">
        <v>375</v>
      </c>
      <c r="J82" s="2" t="s">
        <v>2</v>
      </c>
      <c r="K82" s="20">
        <v>45441</v>
      </c>
      <c r="L82" s="20">
        <v>45446</v>
      </c>
      <c r="M82" s="22">
        <v>166</v>
      </c>
      <c r="N82" s="21">
        <v>155000</v>
      </c>
      <c r="O82" s="2" t="s">
        <v>76</v>
      </c>
      <c r="P82" s="2" t="s">
        <v>4</v>
      </c>
      <c r="Q82" s="2" t="s">
        <v>5</v>
      </c>
      <c r="R82" s="21">
        <f t="shared" si="9"/>
        <v>155000</v>
      </c>
      <c r="S82" s="21">
        <v>155000</v>
      </c>
      <c r="T82" s="5">
        <f t="shared" si="10"/>
        <v>0</v>
      </c>
      <c r="V82">
        <f t="shared" si="11"/>
        <v>5</v>
      </c>
      <c r="W82">
        <f t="shared" si="12"/>
        <v>5</v>
      </c>
      <c r="X82" s="5">
        <f t="shared" si="13"/>
        <v>0</v>
      </c>
      <c r="Y82" s="2" t="s">
        <v>6</v>
      </c>
      <c r="Z82" s="2" t="s">
        <v>2</v>
      </c>
      <c r="AA82">
        <v>722</v>
      </c>
      <c r="AC82">
        <f t="shared" si="14"/>
        <v>2024</v>
      </c>
      <c r="AD82">
        <f t="shared" si="15"/>
        <v>2024</v>
      </c>
      <c r="AE82">
        <f t="shared" si="16"/>
        <v>2024</v>
      </c>
      <c r="AF82">
        <f t="shared" si="17"/>
        <v>6</v>
      </c>
    </row>
    <row r="83" spans="1:32" x14ac:dyDescent="0.25">
      <c r="A83" s="20">
        <v>45442</v>
      </c>
      <c r="B83" s="2">
        <v>1069</v>
      </c>
      <c r="C83" s="19" t="s">
        <v>368</v>
      </c>
      <c r="D83" s="19" t="s">
        <v>2</v>
      </c>
      <c r="E83" s="19" t="s">
        <v>2</v>
      </c>
      <c r="F83" s="19" t="s">
        <v>376</v>
      </c>
      <c r="G83" s="19" t="s">
        <v>377</v>
      </c>
      <c r="H83" s="19" t="s">
        <v>378</v>
      </c>
      <c r="I83" s="19" t="s">
        <v>379</v>
      </c>
      <c r="J83" s="2" t="s">
        <v>2</v>
      </c>
      <c r="K83" s="20">
        <v>45446</v>
      </c>
      <c r="L83" s="20">
        <v>45446</v>
      </c>
      <c r="M83" s="22">
        <v>252</v>
      </c>
      <c r="N83" s="21">
        <v>235000</v>
      </c>
      <c r="O83" s="2" t="s">
        <v>76</v>
      </c>
      <c r="P83" s="2" t="s">
        <v>4</v>
      </c>
      <c r="Q83" s="2" t="s">
        <v>5</v>
      </c>
      <c r="R83" s="21">
        <f t="shared" si="9"/>
        <v>235000</v>
      </c>
      <c r="S83" s="21">
        <v>235000</v>
      </c>
      <c r="T83" s="5">
        <f t="shared" si="10"/>
        <v>0</v>
      </c>
      <c r="V83">
        <f t="shared" si="11"/>
        <v>6</v>
      </c>
      <c r="W83">
        <f t="shared" si="12"/>
        <v>5</v>
      </c>
      <c r="X83" s="5">
        <f t="shared" si="13"/>
        <v>0</v>
      </c>
      <c r="Y83" s="2" t="s">
        <v>6</v>
      </c>
      <c r="Z83" s="2" t="s">
        <v>2</v>
      </c>
      <c r="AA83">
        <v>723</v>
      </c>
      <c r="AC83">
        <f t="shared" si="14"/>
        <v>2024</v>
      </c>
      <c r="AD83">
        <f t="shared" si="15"/>
        <v>2024</v>
      </c>
      <c r="AE83">
        <f t="shared" si="16"/>
        <v>2024</v>
      </c>
      <c r="AF83">
        <f t="shared" si="17"/>
        <v>6</v>
      </c>
    </row>
    <row r="84" spans="1:32" x14ac:dyDescent="0.25">
      <c r="A84" s="20">
        <v>45442</v>
      </c>
      <c r="B84" s="2">
        <v>1070</v>
      </c>
      <c r="C84" s="19" t="s">
        <v>380</v>
      </c>
      <c r="D84" s="19" t="s">
        <v>2</v>
      </c>
      <c r="E84" s="19" t="s">
        <v>2</v>
      </c>
      <c r="F84" s="19" t="s">
        <v>381</v>
      </c>
      <c r="G84" s="19" t="s">
        <v>382</v>
      </c>
      <c r="H84" s="19" t="s">
        <v>383</v>
      </c>
      <c r="I84" s="19" t="s">
        <v>384</v>
      </c>
      <c r="J84" s="2" t="s">
        <v>2</v>
      </c>
      <c r="K84" s="20">
        <v>45447</v>
      </c>
      <c r="L84" s="20">
        <v>45447</v>
      </c>
      <c r="M84" s="22">
        <v>210</v>
      </c>
      <c r="N84" s="21">
        <v>209000</v>
      </c>
      <c r="O84" s="2" t="s">
        <v>76</v>
      </c>
      <c r="P84" s="2" t="s">
        <v>146</v>
      </c>
      <c r="Q84" s="2" t="s">
        <v>147</v>
      </c>
      <c r="R84" s="21">
        <f t="shared" si="9"/>
        <v>0</v>
      </c>
      <c r="S84" s="21">
        <v>0</v>
      </c>
      <c r="T84" s="5">
        <f t="shared" si="10"/>
        <v>0</v>
      </c>
      <c r="V84">
        <f t="shared" si="11"/>
        <v>6</v>
      </c>
      <c r="W84">
        <f t="shared" si="12"/>
        <v>5</v>
      </c>
      <c r="X84" s="5">
        <f t="shared" si="13"/>
        <v>0</v>
      </c>
      <c r="Y84" s="2" t="s">
        <v>6</v>
      </c>
      <c r="Z84" s="2" t="s">
        <v>2</v>
      </c>
      <c r="AC84">
        <f t="shared" si="14"/>
        <v>2024</v>
      </c>
      <c r="AD84">
        <f t="shared" si="15"/>
        <v>2024</v>
      </c>
      <c r="AE84">
        <f t="shared" si="16"/>
        <v>2024</v>
      </c>
      <c r="AF84">
        <f t="shared" si="17"/>
        <v>6</v>
      </c>
    </row>
    <row r="85" spans="1:32" x14ac:dyDescent="0.25">
      <c r="A85" s="20">
        <v>45443</v>
      </c>
      <c r="B85" s="2">
        <v>1071</v>
      </c>
      <c r="C85" s="19" t="s">
        <v>344</v>
      </c>
      <c r="D85" s="19" t="s">
        <v>2</v>
      </c>
      <c r="E85" s="19" t="s">
        <v>2</v>
      </c>
      <c r="F85" s="19" t="s">
        <v>385</v>
      </c>
      <c r="G85" s="19" t="s">
        <v>386</v>
      </c>
      <c r="H85" s="19" t="s">
        <v>387</v>
      </c>
      <c r="I85" s="19" t="s">
        <v>388</v>
      </c>
      <c r="J85" s="2" t="s">
        <v>2</v>
      </c>
      <c r="K85" s="20">
        <v>45443</v>
      </c>
      <c r="L85" s="20">
        <v>45446</v>
      </c>
      <c r="M85" s="22">
        <v>16</v>
      </c>
      <c r="N85" s="21">
        <v>15000</v>
      </c>
      <c r="O85" s="2" t="s">
        <v>3</v>
      </c>
      <c r="P85" s="2" t="s">
        <v>307</v>
      </c>
      <c r="Q85" s="2" t="s">
        <v>5</v>
      </c>
      <c r="R85" s="21">
        <f t="shared" si="9"/>
        <v>15000</v>
      </c>
      <c r="S85" s="21">
        <v>0</v>
      </c>
      <c r="T85" s="5">
        <f t="shared" si="10"/>
        <v>15000</v>
      </c>
      <c r="V85">
        <f t="shared" si="11"/>
        <v>5</v>
      </c>
      <c r="W85">
        <f t="shared" si="12"/>
        <v>5</v>
      </c>
      <c r="X85" s="5">
        <f t="shared" si="13"/>
        <v>-15000</v>
      </c>
      <c r="Y85" s="2" t="s">
        <v>6</v>
      </c>
      <c r="Z85" s="2" t="s">
        <v>2</v>
      </c>
      <c r="AC85">
        <f t="shared" si="14"/>
        <v>2024</v>
      </c>
      <c r="AD85">
        <f t="shared" si="15"/>
        <v>2024</v>
      </c>
      <c r="AE85">
        <f t="shared" si="16"/>
        <v>2024</v>
      </c>
      <c r="AF85">
        <f t="shared" si="17"/>
        <v>6</v>
      </c>
    </row>
    <row r="86" spans="1:32" x14ac:dyDescent="0.25">
      <c r="A86" s="20">
        <v>45446</v>
      </c>
      <c r="B86" s="2">
        <v>1072</v>
      </c>
      <c r="C86" s="19" t="s">
        <v>373</v>
      </c>
      <c r="D86" s="19" t="s">
        <v>2</v>
      </c>
      <c r="E86" s="19" t="s">
        <v>2</v>
      </c>
      <c r="F86" s="19" t="s">
        <v>389</v>
      </c>
      <c r="G86" s="19" t="s">
        <v>352</v>
      </c>
      <c r="H86" s="19" t="s">
        <v>390</v>
      </c>
      <c r="I86" s="19" t="s">
        <v>391</v>
      </c>
      <c r="J86" s="2" t="s">
        <v>2</v>
      </c>
      <c r="K86" s="20">
        <v>45446</v>
      </c>
      <c r="L86" s="20">
        <v>45449</v>
      </c>
      <c r="M86" s="22">
        <v>182</v>
      </c>
      <c r="N86" s="21">
        <v>170000</v>
      </c>
      <c r="O86" s="2" t="s">
        <v>76</v>
      </c>
      <c r="P86" s="2" t="s">
        <v>4</v>
      </c>
      <c r="Q86" s="2" t="s">
        <v>5</v>
      </c>
      <c r="R86" s="21">
        <f t="shared" si="9"/>
        <v>170000</v>
      </c>
      <c r="S86" s="21">
        <v>170000</v>
      </c>
      <c r="T86" s="5">
        <f t="shared" si="10"/>
        <v>15000</v>
      </c>
      <c r="V86">
        <f t="shared" si="11"/>
        <v>6</v>
      </c>
      <c r="W86">
        <f t="shared" si="12"/>
        <v>6</v>
      </c>
      <c r="X86" s="5">
        <f t="shared" si="13"/>
        <v>0</v>
      </c>
      <c r="Y86" s="2" t="s">
        <v>6</v>
      </c>
      <c r="Z86" s="2" t="s">
        <v>2</v>
      </c>
      <c r="AA86">
        <v>724</v>
      </c>
      <c r="AC86">
        <f t="shared" si="14"/>
        <v>2024</v>
      </c>
      <c r="AD86">
        <f t="shared" si="15"/>
        <v>2024</v>
      </c>
      <c r="AE86">
        <f t="shared" si="16"/>
        <v>2024</v>
      </c>
      <c r="AF86">
        <f t="shared" si="17"/>
        <v>6</v>
      </c>
    </row>
    <row r="87" spans="1:32" x14ac:dyDescent="0.25">
      <c r="A87" s="20">
        <v>45447.125</v>
      </c>
      <c r="B87" s="2">
        <v>1073</v>
      </c>
      <c r="C87" s="19" t="s">
        <v>207</v>
      </c>
      <c r="D87" s="19" t="s">
        <v>2</v>
      </c>
      <c r="E87" s="19" t="s">
        <v>2</v>
      </c>
      <c r="F87" s="19" t="s">
        <v>392</v>
      </c>
      <c r="G87" s="19" t="s">
        <v>393</v>
      </c>
      <c r="H87" s="19" t="s">
        <v>394</v>
      </c>
      <c r="I87" s="19" t="s">
        <v>395</v>
      </c>
      <c r="J87" s="2" t="s">
        <v>2</v>
      </c>
      <c r="K87" s="20">
        <v>45451.125</v>
      </c>
      <c r="L87" s="20">
        <v>45451.125</v>
      </c>
      <c r="M87" s="22">
        <v>230</v>
      </c>
      <c r="N87" s="21">
        <v>213900</v>
      </c>
      <c r="O87" s="2" t="s">
        <v>76</v>
      </c>
      <c r="P87" s="2" t="s">
        <v>4</v>
      </c>
      <c r="Q87" s="2" t="s">
        <v>5</v>
      </c>
      <c r="R87" s="21">
        <f t="shared" si="9"/>
        <v>213900</v>
      </c>
      <c r="S87" s="21">
        <v>213900</v>
      </c>
      <c r="T87" s="5">
        <f t="shared" si="10"/>
        <v>15000</v>
      </c>
      <c r="V87">
        <f t="shared" si="11"/>
        <v>6</v>
      </c>
      <c r="W87">
        <f t="shared" si="12"/>
        <v>6</v>
      </c>
      <c r="X87" s="5">
        <f t="shared" si="13"/>
        <v>0</v>
      </c>
      <c r="Y87" s="2" t="s">
        <v>6</v>
      </c>
      <c r="Z87" s="2" t="s">
        <v>2</v>
      </c>
      <c r="AA87">
        <v>726</v>
      </c>
      <c r="AC87">
        <f t="shared" si="14"/>
        <v>2024</v>
      </c>
      <c r="AD87">
        <f t="shared" si="15"/>
        <v>2024</v>
      </c>
      <c r="AE87">
        <f t="shared" si="16"/>
        <v>2024</v>
      </c>
      <c r="AF87">
        <f t="shared" si="17"/>
        <v>6</v>
      </c>
    </row>
    <row r="88" spans="1:32" x14ac:dyDescent="0.25">
      <c r="A88" s="20">
        <v>45448</v>
      </c>
      <c r="B88" s="2">
        <v>1074</v>
      </c>
      <c r="C88" s="19" t="s">
        <v>0</v>
      </c>
      <c r="D88" s="19" t="s">
        <v>112</v>
      </c>
      <c r="E88" s="19" t="s">
        <v>396</v>
      </c>
      <c r="F88" s="19" t="s">
        <v>168</v>
      </c>
      <c r="G88" s="19" t="s">
        <v>397</v>
      </c>
      <c r="H88" s="19" t="s">
        <v>398</v>
      </c>
      <c r="I88" s="19" t="s">
        <v>399</v>
      </c>
      <c r="J88" s="2" t="s">
        <v>2</v>
      </c>
      <c r="K88" s="20">
        <v>45448</v>
      </c>
      <c r="L88" s="20">
        <v>45463</v>
      </c>
      <c r="M88" s="22">
        <v>436</v>
      </c>
      <c r="N88" s="21">
        <v>409605</v>
      </c>
      <c r="O88" s="2" t="s">
        <v>76</v>
      </c>
      <c r="P88" s="2" t="s">
        <v>4</v>
      </c>
      <c r="Q88" s="2" t="s">
        <v>5</v>
      </c>
      <c r="R88" s="21">
        <f t="shared" si="9"/>
        <v>409605</v>
      </c>
      <c r="S88" s="21">
        <v>409605</v>
      </c>
      <c r="T88" s="5">
        <f t="shared" si="10"/>
        <v>15000</v>
      </c>
      <c r="V88">
        <f t="shared" si="11"/>
        <v>6</v>
      </c>
      <c r="W88">
        <f t="shared" si="12"/>
        <v>6</v>
      </c>
      <c r="X88" s="5">
        <f t="shared" si="13"/>
        <v>0</v>
      </c>
      <c r="Y88" s="2" t="s">
        <v>6</v>
      </c>
      <c r="Z88" s="2" t="s">
        <v>2</v>
      </c>
      <c r="AC88">
        <f t="shared" si="14"/>
        <v>2024</v>
      </c>
      <c r="AD88">
        <f t="shared" si="15"/>
        <v>2024</v>
      </c>
      <c r="AE88">
        <f t="shared" si="16"/>
        <v>2024</v>
      </c>
      <c r="AF88">
        <f t="shared" si="17"/>
        <v>6</v>
      </c>
    </row>
    <row r="89" spans="1:32" x14ac:dyDescent="0.25">
      <c r="A89" s="20">
        <v>45450</v>
      </c>
      <c r="B89" s="2">
        <v>1075</v>
      </c>
      <c r="C89" s="19" t="s">
        <v>537</v>
      </c>
      <c r="D89" s="19" t="s">
        <v>2</v>
      </c>
      <c r="E89" s="19" t="s">
        <v>2</v>
      </c>
      <c r="F89" s="19" t="s">
        <v>400</v>
      </c>
      <c r="G89" s="19" t="s">
        <v>95</v>
      </c>
      <c r="H89" s="19" t="s">
        <v>271</v>
      </c>
      <c r="I89" s="19" t="s">
        <v>401</v>
      </c>
      <c r="J89" s="2" t="s">
        <v>2</v>
      </c>
      <c r="K89" s="20">
        <v>45451</v>
      </c>
      <c r="L89" s="20">
        <v>45451</v>
      </c>
      <c r="M89" s="22">
        <v>170</v>
      </c>
      <c r="N89" s="21">
        <v>142000</v>
      </c>
      <c r="O89" s="2" t="s">
        <v>76</v>
      </c>
      <c r="P89" s="2" t="s">
        <v>4</v>
      </c>
      <c r="Q89" s="2" t="s">
        <v>5</v>
      </c>
      <c r="R89" s="21">
        <f t="shared" si="9"/>
        <v>142000</v>
      </c>
      <c r="S89" s="21">
        <v>142000</v>
      </c>
      <c r="T89" s="5">
        <f t="shared" si="10"/>
        <v>15000</v>
      </c>
      <c r="V89">
        <f t="shared" si="11"/>
        <v>6</v>
      </c>
      <c r="W89">
        <f t="shared" si="12"/>
        <v>6</v>
      </c>
      <c r="X89" s="5">
        <f t="shared" si="13"/>
        <v>0</v>
      </c>
      <c r="Y89" s="2" t="s">
        <v>6</v>
      </c>
      <c r="Z89" s="2" t="s">
        <v>2</v>
      </c>
      <c r="AA89">
        <v>725</v>
      </c>
      <c r="AC89">
        <f t="shared" si="14"/>
        <v>2024</v>
      </c>
      <c r="AD89">
        <f t="shared" si="15"/>
        <v>2024</v>
      </c>
      <c r="AE89">
        <f t="shared" si="16"/>
        <v>2024</v>
      </c>
      <c r="AF89">
        <f t="shared" si="17"/>
        <v>6</v>
      </c>
    </row>
    <row r="90" spans="1:32" x14ac:dyDescent="0.25">
      <c r="A90" s="20">
        <v>45450</v>
      </c>
      <c r="B90" s="2">
        <v>1076</v>
      </c>
      <c r="C90" s="19" t="s">
        <v>402</v>
      </c>
      <c r="D90" s="19" t="s">
        <v>2</v>
      </c>
      <c r="E90" s="19" t="s">
        <v>2</v>
      </c>
      <c r="F90" s="19" t="s">
        <v>403</v>
      </c>
      <c r="G90" s="19" t="s">
        <v>404</v>
      </c>
      <c r="H90" s="19" t="s">
        <v>405</v>
      </c>
      <c r="I90" s="19" t="s">
        <v>406</v>
      </c>
      <c r="J90" s="2" t="s">
        <v>2</v>
      </c>
      <c r="K90" s="20">
        <v>45457</v>
      </c>
      <c r="L90" s="20">
        <v>45451</v>
      </c>
      <c r="M90" s="22">
        <v>85</v>
      </c>
      <c r="N90" s="21">
        <v>86500</v>
      </c>
      <c r="O90" s="2" t="s">
        <v>76</v>
      </c>
      <c r="P90" s="2" t="s">
        <v>4</v>
      </c>
      <c r="Q90" s="2" t="s">
        <v>5</v>
      </c>
      <c r="R90" s="21">
        <f t="shared" si="9"/>
        <v>86500</v>
      </c>
      <c r="S90" s="21">
        <v>86500</v>
      </c>
      <c r="T90" s="5">
        <f t="shared" si="10"/>
        <v>15000</v>
      </c>
      <c r="V90">
        <f t="shared" si="11"/>
        <v>6</v>
      </c>
      <c r="W90">
        <f t="shared" si="12"/>
        <v>6</v>
      </c>
      <c r="X90" s="5">
        <f t="shared" si="13"/>
        <v>0</v>
      </c>
      <c r="Y90" s="2" t="s">
        <v>6</v>
      </c>
      <c r="Z90" s="2" t="s">
        <v>2</v>
      </c>
      <c r="AA90">
        <v>727</v>
      </c>
      <c r="AC90">
        <f t="shared" si="14"/>
        <v>2024</v>
      </c>
      <c r="AD90">
        <f t="shared" si="15"/>
        <v>2024</v>
      </c>
      <c r="AE90">
        <f t="shared" si="16"/>
        <v>2024</v>
      </c>
      <c r="AF90">
        <f t="shared" si="17"/>
        <v>6</v>
      </c>
    </row>
    <row r="91" spans="1:32" x14ac:dyDescent="0.25">
      <c r="A91" s="20">
        <v>45451</v>
      </c>
      <c r="B91" s="2">
        <v>1077</v>
      </c>
      <c r="C91" s="19" t="s">
        <v>407</v>
      </c>
      <c r="D91" s="19" t="s">
        <v>2</v>
      </c>
      <c r="E91" s="19" t="s">
        <v>2</v>
      </c>
      <c r="F91" s="19" t="s">
        <v>408</v>
      </c>
      <c r="G91" s="19" t="s">
        <v>409</v>
      </c>
      <c r="H91" s="19" t="s">
        <v>410</v>
      </c>
      <c r="I91" s="19" t="s">
        <v>411</v>
      </c>
      <c r="J91" s="2" t="s">
        <v>2</v>
      </c>
      <c r="K91" s="20">
        <v>45456</v>
      </c>
      <c r="L91" s="20">
        <v>45454</v>
      </c>
      <c r="M91" s="22">
        <v>250</v>
      </c>
      <c r="N91" s="21">
        <v>235000</v>
      </c>
      <c r="O91" s="2" t="s">
        <v>76</v>
      </c>
      <c r="P91" s="2" t="s">
        <v>4</v>
      </c>
      <c r="Q91" s="2" t="s">
        <v>5</v>
      </c>
      <c r="R91" s="21">
        <f t="shared" si="9"/>
        <v>235000</v>
      </c>
      <c r="S91" s="21">
        <v>235000</v>
      </c>
      <c r="T91" s="5">
        <f t="shared" si="10"/>
        <v>15000</v>
      </c>
      <c r="V91">
        <f t="shared" si="11"/>
        <v>6</v>
      </c>
      <c r="W91">
        <f t="shared" si="12"/>
        <v>6</v>
      </c>
      <c r="X91" s="5">
        <f t="shared" si="13"/>
        <v>0</v>
      </c>
      <c r="Y91" s="2" t="s">
        <v>6</v>
      </c>
      <c r="Z91" s="2" t="s">
        <v>2</v>
      </c>
      <c r="AC91">
        <f t="shared" si="14"/>
        <v>2024</v>
      </c>
      <c r="AD91">
        <f t="shared" si="15"/>
        <v>2024</v>
      </c>
      <c r="AE91">
        <f t="shared" si="16"/>
        <v>2024</v>
      </c>
      <c r="AF91">
        <f t="shared" si="17"/>
        <v>6</v>
      </c>
    </row>
    <row r="92" spans="1:32" x14ac:dyDescent="0.25">
      <c r="A92" s="20">
        <v>45453</v>
      </c>
      <c r="B92" s="2">
        <v>1078</v>
      </c>
      <c r="C92" s="19" t="s">
        <v>412</v>
      </c>
      <c r="D92" s="19" t="s">
        <v>2</v>
      </c>
      <c r="E92" s="19" t="s">
        <v>2</v>
      </c>
      <c r="F92" s="19" t="s">
        <v>257</v>
      </c>
      <c r="G92" s="19" t="s">
        <v>108</v>
      </c>
      <c r="H92" s="19" t="s">
        <v>258</v>
      </c>
      <c r="I92" s="19" t="s">
        <v>413</v>
      </c>
      <c r="J92" s="2" t="s">
        <v>2</v>
      </c>
      <c r="K92" s="20">
        <v>45476</v>
      </c>
      <c r="L92" s="20">
        <v>45454</v>
      </c>
      <c r="M92" s="22">
        <v>100</v>
      </c>
      <c r="N92" s="21">
        <v>95000</v>
      </c>
      <c r="O92" s="2" t="s">
        <v>76</v>
      </c>
      <c r="P92" s="2" t="s">
        <v>4</v>
      </c>
      <c r="Q92" s="2" t="s">
        <v>5</v>
      </c>
      <c r="R92" s="21">
        <f t="shared" si="9"/>
        <v>95000</v>
      </c>
      <c r="S92" s="21">
        <v>95000</v>
      </c>
      <c r="T92" s="5">
        <f t="shared" si="10"/>
        <v>15000</v>
      </c>
      <c r="V92">
        <f t="shared" si="11"/>
        <v>7</v>
      </c>
      <c r="W92">
        <f t="shared" si="12"/>
        <v>6</v>
      </c>
      <c r="X92" s="5">
        <f t="shared" si="13"/>
        <v>0</v>
      </c>
      <c r="Y92" s="2" t="s">
        <v>6</v>
      </c>
      <c r="Z92" s="2" t="s">
        <v>2</v>
      </c>
      <c r="AA92">
        <v>732</v>
      </c>
      <c r="AC92">
        <f t="shared" si="14"/>
        <v>2024</v>
      </c>
      <c r="AD92">
        <f t="shared" si="15"/>
        <v>2024</v>
      </c>
      <c r="AE92">
        <f t="shared" si="16"/>
        <v>2024</v>
      </c>
      <c r="AF92">
        <f t="shared" si="17"/>
        <v>6</v>
      </c>
    </row>
    <row r="93" spans="1:32" x14ac:dyDescent="0.25">
      <c r="A93" s="20">
        <v>45454</v>
      </c>
      <c r="B93" s="2">
        <v>1079</v>
      </c>
      <c r="C93" s="19" t="s">
        <v>136</v>
      </c>
      <c r="D93" s="19" t="s">
        <v>2</v>
      </c>
      <c r="E93" s="19" t="s">
        <v>2</v>
      </c>
      <c r="F93" s="19" t="s">
        <v>414</v>
      </c>
      <c r="G93" s="19" t="s">
        <v>415</v>
      </c>
      <c r="H93" s="19" t="s">
        <v>416</v>
      </c>
      <c r="I93" s="19" t="s">
        <v>417</v>
      </c>
      <c r="J93" s="2" t="s">
        <v>2</v>
      </c>
      <c r="K93" s="20">
        <v>45454</v>
      </c>
      <c r="L93" s="20">
        <v>45454</v>
      </c>
      <c r="M93" s="22">
        <v>50</v>
      </c>
      <c r="N93" s="21">
        <v>53000</v>
      </c>
      <c r="O93" s="2" t="s">
        <v>76</v>
      </c>
      <c r="P93" s="2" t="s">
        <v>4</v>
      </c>
      <c r="Q93" s="2" t="s">
        <v>5</v>
      </c>
      <c r="R93" s="21">
        <f t="shared" si="9"/>
        <v>53000</v>
      </c>
      <c r="S93" s="21">
        <v>53000</v>
      </c>
      <c r="T93" s="5">
        <f t="shared" si="10"/>
        <v>15000</v>
      </c>
      <c r="V93">
        <f t="shared" si="11"/>
        <v>6</v>
      </c>
      <c r="W93">
        <f t="shared" si="12"/>
        <v>6</v>
      </c>
      <c r="X93" s="5">
        <f t="shared" si="13"/>
        <v>0</v>
      </c>
      <c r="Y93" s="2" t="s">
        <v>6</v>
      </c>
      <c r="Z93" s="2" t="s">
        <v>2</v>
      </c>
      <c r="AC93">
        <f t="shared" si="14"/>
        <v>2024</v>
      </c>
      <c r="AD93">
        <f t="shared" si="15"/>
        <v>2024</v>
      </c>
      <c r="AE93">
        <f t="shared" si="16"/>
        <v>2024</v>
      </c>
      <c r="AF93">
        <f t="shared" si="17"/>
        <v>6</v>
      </c>
    </row>
    <row r="94" spans="1:32" x14ac:dyDescent="0.25">
      <c r="A94" s="20">
        <v>45454</v>
      </c>
      <c r="B94" s="2">
        <v>1080</v>
      </c>
      <c r="C94" s="19" t="s">
        <v>418</v>
      </c>
      <c r="D94" s="19" t="s">
        <v>2</v>
      </c>
      <c r="E94" s="19" t="s">
        <v>2</v>
      </c>
      <c r="F94" s="19" t="s">
        <v>212</v>
      </c>
      <c r="G94" s="19" t="s">
        <v>419</v>
      </c>
      <c r="H94" s="19" t="s">
        <v>420</v>
      </c>
      <c r="I94" s="19" t="s">
        <v>421</v>
      </c>
      <c r="J94" s="2" t="s">
        <v>2</v>
      </c>
      <c r="K94" s="20">
        <v>45456</v>
      </c>
      <c r="L94" s="20">
        <v>45456</v>
      </c>
      <c r="M94" s="22">
        <v>121</v>
      </c>
      <c r="N94" s="21">
        <v>115000</v>
      </c>
      <c r="O94" s="2" t="s">
        <v>76</v>
      </c>
      <c r="P94" s="2" t="s">
        <v>146</v>
      </c>
      <c r="Q94" s="2" t="s">
        <v>147</v>
      </c>
      <c r="R94" s="21">
        <f t="shared" si="9"/>
        <v>0</v>
      </c>
      <c r="S94" s="21">
        <v>0</v>
      </c>
      <c r="T94" s="5">
        <f t="shared" si="10"/>
        <v>15000</v>
      </c>
      <c r="V94">
        <f t="shared" si="11"/>
        <v>6</v>
      </c>
      <c r="W94">
        <f t="shared" si="12"/>
        <v>6</v>
      </c>
      <c r="X94" s="5">
        <f t="shared" si="13"/>
        <v>0</v>
      </c>
      <c r="Y94" s="2" t="s">
        <v>6</v>
      </c>
      <c r="Z94" s="2" t="s">
        <v>2</v>
      </c>
      <c r="AC94">
        <f t="shared" si="14"/>
        <v>2024</v>
      </c>
      <c r="AD94">
        <f t="shared" si="15"/>
        <v>2024</v>
      </c>
      <c r="AE94">
        <f t="shared" si="16"/>
        <v>2024</v>
      </c>
      <c r="AF94">
        <f t="shared" si="17"/>
        <v>6</v>
      </c>
    </row>
    <row r="95" spans="1:32" x14ac:dyDescent="0.25">
      <c r="A95" s="20">
        <v>45455</v>
      </c>
      <c r="B95" s="2">
        <v>1081</v>
      </c>
      <c r="C95" s="19" t="s">
        <v>418</v>
      </c>
      <c r="D95" s="19" t="s">
        <v>2</v>
      </c>
      <c r="E95" s="19" t="s">
        <v>2</v>
      </c>
      <c r="F95" s="19" t="s">
        <v>422</v>
      </c>
      <c r="G95" s="19" t="s">
        <v>419</v>
      </c>
      <c r="H95" s="19" t="s">
        <v>423</v>
      </c>
      <c r="I95" s="19" t="s">
        <v>424</v>
      </c>
      <c r="J95" s="2" t="s">
        <v>2</v>
      </c>
      <c r="K95" s="20">
        <v>45456</v>
      </c>
      <c r="L95" s="20">
        <v>45456</v>
      </c>
      <c r="M95" s="22">
        <v>115</v>
      </c>
      <c r="N95" s="21">
        <v>110000</v>
      </c>
      <c r="O95" s="2" t="s">
        <v>76</v>
      </c>
      <c r="P95" s="2" t="s">
        <v>146</v>
      </c>
      <c r="Q95" s="2" t="s">
        <v>147</v>
      </c>
      <c r="R95" s="21">
        <f t="shared" si="9"/>
        <v>0</v>
      </c>
      <c r="S95" s="21">
        <v>0</v>
      </c>
      <c r="T95" s="5">
        <f t="shared" si="10"/>
        <v>15000</v>
      </c>
      <c r="V95">
        <f t="shared" si="11"/>
        <v>6</v>
      </c>
      <c r="W95">
        <f t="shared" si="12"/>
        <v>6</v>
      </c>
      <c r="X95" s="5">
        <f t="shared" si="13"/>
        <v>0</v>
      </c>
      <c r="Y95" s="2" t="s">
        <v>6</v>
      </c>
      <c r="Z95" s="2" t="s">
        <v>2</v>
      </c>
      <c r="AC95">
        <f t="shared" si="14"/>
        <v>2024</v>
      </c>
      <c r="AD95">
        <f t="shared" si="15"/>
        <v>2024</v>
      </c>
      <c r="AE95">
        <f t="shared" si="16"/>
        <v>2024</v>
      </c>
      <c r="AF95">
        <f t="shared" si="17"/>
        <v>6</v>
      </c>
    </row>
    <row r="96" spans="1:32" x14ac:dyDescent="0.25">
      <c r="A96" s="20">
        <v>45455</v>
      </c>
      <c r="B96" s="2">
        <v>1082</v>
      </c>
      <c r="C96" s="19" t="s">
        <v>298</v>
      </c>
      <c r="D96" s="19" t="s">
        <v>2</v>
      </c>
      <c r="E96" s="19" t="s">
        <v>2</v>
      </c>
      <c r="F96" s="19" t="s">
        <v>425</v>
      </c>
      <c r="G96" s="19" t="s">
        <v>352</v>
      </c>
      <c r="H96" s="19" t="s">
        <v>426</v>
      </c>
      <c r="I96" s="19" t="s">
        <v>427</v>
      </c>
      <c r="J96" s="2" t="s">
        <v>2</v>
      </c>
      <c r="K96" s="20">
        <v>45481</v>
      </c>
      <c r="L96" s="20">
        <v>45461</v>
      </c>
      <c r="M96" s="22">
        <v>210</v>
      </c>
      <c r="N96" s="21">
        <v>195400</v>
      </c>
      <c r="O96" s="2" t="s">
        <v>76</v>
      </c>
      <c r="P96" s="2" t="s">
        <v>4</v>
      </c>
      <c r="Q96" s="2" t="s">
        <v>5</v>
      </c>
      <c r="R96" s="21">
        <f t="shared" si="9"/>
        <v>195400</v>
      </c>
      <c r="S96" s="21">
        <v>195400</v>
      </c>
      <c r="T96" s="5">
        <f t="shared" si="10"/>
        <v>15000</v>
      </c>
      <c r="V96">
        <f t="shared" si="11"/>
        <v>7</v>
      </c>
      <c r="W96">
        <f t="shared" si="12"/>
        <v>6</v>
      </c>
      <c r="X96" s="5">
        <f t="shared" si="13"/>
        <v>0</v>
      </c>
      <c r="Y96" s="2" t="s">
        <v>6</v>
      </c>
      <c r="Z96" s="2" t="s">
        <v>2</v>
      </c>
      <c r="AA96">
        <v>734</v>
      </c>
      <c r="AC96">
        <f t="shared" si="14"/>
        <v>2024</v>
      </c>
      <c r="AD96">
        <f t="shared" si="15"/>
        <v>2024</v>
      </c>
      <c r="AE96">
        <f t="shared" si="16"/>
        <v>2024</v>
      </c>
      <c r="AF96">
        <f t="shared" si="17"/>
        <v>6</v>
      </c>
    </row>
    <row r="97" spans="1:32" x14ac:dyDescent="0.25">
      <c r="A97" s="20">
        <v>45457</v>
      </c>
      <c r="B97" s="2">
        <v>1083</v>
      </c>
      <c r="C97" s="19" t="s">
        <v>428</v>
      </c>
      <c r="D97" s="19" t="s">
        <v>2</v>
      </c>
      <c r="E97" s="19" t="s">
        <v>2</v>
      </c>
      <c r="F97" s="19" t="s">
        <v>187</v>
      </c>
      <c r="G97" s="19" t="s">
        <v>429</v>
      </c>
      <c r="H97" s="19" t="s">
        <v>430</v>
      </c>
      <c r="I97" s="19" t="s">
        <v>431</v>
      </c>
      <c r="J97" s="2" t="s">
        <v>2</v>
      </c>
      <c r="K97" s="20">
        <v>45457</v>
      </c>
      <c r="L97" s="20">
        <v>45457</v>
      </c>
      <c r="M97" s="22">
        <v>90</v>
      </c>
      <c r="N97" s="21">
        <v>88000</v>
      </c>
      <c r="O97" s="2" t="s">
        <v>76</v>
      </c>
      <c r="P97" s="2" t="s">
        <v>4</v>
      </c>
      <c r="Q97" s="2" t="s">
        <v>5</v>
      </c>
      <c r="R97" s="21">
        <f t="shared" si="9"/>
        <v>88000</v>
      </c>
      <c r="S97" s="21">
        <v>88000</v>
      </c>
      <c r="T97" s="5">
        <f t="shared" si="10"/>
        <v>15000</v>
      </c>
      <c r="V97">
        <f t="shared" si="11"/>
        <v>6</v>
      </c>
      <c r="W97">
        <f t="shared" si="12"/>
        <v>6</v>
      </c>
      <c r="X97" s="5">
        <f t="shared" si="13"/>
        <v>0</v>
      </c>
      <c r="Y97" s="2" t="s">
        <v>6</v>
      </c>
      <c r="Z97" s="2" t="s">
        <v>2</v>
      </c>
      <c r="AA97">
        <v>728</v>
      </c>
      <c r="AC97">
        <f t="shared" si="14"/>
        <v>2024</v>
      </c>
      <c r="AD97">
        <f t="shared" si="15"/>
        <v>2024</v>
      </c>
      <c r="AE97">
        <f t="shared" si="16"/>
        <v>2024</v>
      </c>
      <c r="AF97">
        <f t="shared" si="17"/>
        <v>6</v>
      </c>
    </row>
    <row r="98" spans="1:32" x14ac:dyDescent="0.25">
      <c r="A98" s="20">
        <v>45461</v>
      </c>
      <c r="B98" s="2">
        <v>1084</v>
      </c>
      <c r="C98" s="19" t="s">
        <v>373</v>
      </c>
      <c r="D98" s="19" t="s">
        <v>2</v>
      </c>
      <c r="E98" s="19" t="s">
        <v>2</v>
      </c>
      <c r="F98" s="19" t="s">
        <v>400</v>
      </c>
      <c r="G98" s="19" t="s">
        <v>352</v>
      </c>
      <c r="H98" s="19" t="s">
        <v>432</v>
      </c>
      <c r="I98" s="19" t="s">
        <v>433</v>
      </c>
      <c r="J98" s="2" t="s">
        <v>2</v>
      </c>
      <c r="K98" s="20">
        <v>45461</v>
      </c>
      <c r="L98" s="20">
        <v>45476</v>
      </c>
      <c r="M98" s="22">
        <v>125</v>
      </c>
      <c r="N98" s="21">
        <v>120000</v>
      </c>
      <c r="O98" s="2" t="s">
        <v>76</v>
      </c>
      <c r="P98" s="2" t="s">
        <v>4</v>
      </c>
      <c r="Q98" s="2" t="s">
        <v>5</v>
      </c>
      <c r="R98" s="21">
        <f t="shared" si="9"/>
        <v>120000</v>
      </c>
      <c r="S98" s="21">
        <v>120000</v>
      </c>
      <c r="T98" s="5">
        <f t="shared" si="10"/>
        <v>15000</v>
      </c>
      <c r="V98">
        <f t="shared" si="11"/>
        <v>6</v>
      </c>
      <c r="W98">
        <f t="shared" si="12"/>
        <v>6</v>
      </c>
      <c r="X98" s="5">
        <f t="shared" si="13"/>
        <v>0</v>
      </c>
      <c r="Y98" s="2" t="s">
        <v>6</v>
      </c>
      <c r="Z98" s="2" t="s">
        <v>2</v>
      </c>
      <c r="AA98">
        <v>733</v>
      </c>
      <c r="AC98">
        <f t="shared" si="14"/>
        <v>2024</v>
      </c>
      <c r="AD98">
        <f t="shared" si="15"/>
        <v>2024</v>
      </c>
      <c r="AE98">
        <f t="shared" si="16"/>
        <v>2024</v>
      </c>
      <c r="AF98">
        <f t="shared" si="17"/>
        <v>7</v>
      </c>
    </row>
    <row r="99" spans="1:32" x14ac:dyDescent="0.25">
      <c r="A99" s="20">
        <v>45461</v>
      </c>
      <c r="B99" s="2">
        <v>1085</v>
      </c>
      <c r="C99" s="19" t="s">
        <v>373</v>
      </c>
      <c r="D99" s="19" t="s">
        <v>2</v>
      </c>
      <c r="E99" s="19" t="s">
        <v>2</v>
      </c>
      <c r="F99" s="19" t="s">
        <v>400</v>
      </c>
      <c r="G99" s="19" t="s">
        <v>352</v>
      </c>
      <c r="H99" s="19" t="s">
        <v>432</v>
      </c>
      <c r="I99" s="19" t="s">
        <v>434</v>
      </c>
      <c r="J99" s="2" t="s">
        <v>2</v>
      </c>
      <c r="K99" s="20">
        <v>45461</v>
      </c>
      <c r="L99" s="20">
        <v>45476</v>
      </c>
      <c r="M99" s="22">
        <v>125</v>
      </c>
      <c r="N99" s="21">
        <v>120000</v>
      </c>
      <c r="O99" s="2" t="s">
        <v>76</v>
      </c>
      <c r="P99" s="2" t="s">
        <v>4</v>
      </c>
      <c r="Q99" s="2" t="s">
        <v>5</v>
      </c>
      <c r="R99" s="21">
        <f t="shared" si="9"/>
        <v>120000</v>
      </c>
      <c r="S99" s="21">
        <v>120000</v>
      </c>
      <c r="T99" s="5">
        <f t="shared" si="10"/>
        <v>15000</v>
      </c>
      <c r="V99">
        <f t="shared" si="11"/>
        <v>6</v>
      </c>
      <c r="W99">
        <f t="shared" si="12"/>
        <v>6</v>
      </c>
      <c r="X99" s="5">
        <f t="shared" si="13"/>
        <v>0</v>
      </c>
      <c r="Y99" s="2" t="s">
        <v>6</v>
      </c>
      <c r="Z99" s="2" t="s">
        <v>2</v>
      </c>
      <c r="AA99">
        <v>733</v>
      </c>
      <c r="AC99">
        <f t="shared" si="14"/>
        <v>2024</v>
      </c>
      <c r="AD99">
        <f t="shared" si="15"/>
        <v>2024</v>
      </c>
      <c r="AE99">
        <f t="shared" si="16"/>
        <v>2024</v>
      </c>
      <c r="AF99">
        <f t="shared" si="17"/>
        <v>7</v>
      </c>
    </row>
    <row r="100" spans="1:32" x14ac:dyDescent="0.25">
      <c r="A100" s="20">
        <v>45463</v>
      </c>
      <c r="B100" s="2">
        <v>1086</v>
      </c>
      <c r="C100" s="19" t="s">
        <v>435</v>
      </c>
      <c r="D100" s="19" t="s">
        <v>2</v>
      </c>
      <c r="E100" s="19" t="s">
        <v>2</v>
      </c>
      <c r="F100" s="19" t="s">
        <v>436</v>
      </c>
      <c r="G100" s="19" t="s">
        <v>437</v>
      </c>
      <c r="H100" s="19" t="s">
        <v>438</v>
      </c>
      <c r="I100" s="19" t="s">
        <v>439</v>
      </c>
      <c r="J100" s="2" t="s">
        <v>2</v>
      </c>
      <c r="K100" s="20">
        <v>45463</v>
      </c>
      <c r="L100" s="20">
        <v>45466</v>
      </c>
      <c r="M100" s="22">
        <v>104</v>
      </c>
      <c r="N100" s="21">
        <v>99500</v>
      </c>
      <c r="O100" s="2" t="s">
        <v>76</v>
      </c>
      <c r="P100" s="2" t="s">
        <v>4</v>
      </c>
      <c r="Q100" s="2" t="s">
        <v>5</v>
      </c>
      <c r="R100" s="21">
        <f t="shared" si="9"/>
        <v>99500</v>
      </c>
      <c r="S100" s="21">
        <v>99500</v>
      </c>
      <c r="T100" s="5">
        <f t="shared" si="10"/>
        <v>15000</v>
      </c>
      <c r="V100">
        <f t="shared" si="11"/>
        <v>6</v>
      </c>
      <c r="W100">
        <f t="shared" si="12"/>
        <v>6</v>
      </c>
      <c r="X100" s="5">
        <f t="shared" si="13"/>
        <v>0</v>
      </c>
      <c r="Y100" s="2" t="s">
        <v>6</v>
      </c>
      <c r="Z100" s="2" t="s">
        <v>2</v>
      </c>
      <c r="AA100">
        <v>731</v>
      </c>
      <c r="AC100">
        <f t="shared" si="14"/>
        <v>2024</v>
      </c>
      <c r="AD100">
        <f t="shared" si="15"/>
        <v>2024</v>
      </c>
      <c r="AE100">
        <f t="shared" si="16"/>
        <v>2024</v>
      </c>
      <c r="AF100">
        <f t="shared" si="17"/>
        <v>6</v>
      </c>
    </row>
    <row r="101" spans="1:32" x14ac:dyDescent="0.25">
      <c r="A101" s="20">
        <v>45467</v>
      </c>
      <c r="B101" s="2">
        <v>1087</v>
      </c>
      <c r="C101" s="19" t="s">
        <v>219</v>
      </c>
      <c r="D101" s="19" t="s">
        <v>2</v>
      </c>
      <c r="E101" s="19" t="s">
        <v>2</v>
      </c>
      <c r="F101" s="19" t="s">
        <v>440</v>
      </c>
      <c r="G101" s="19" t="s">
        <v>441</v>
      </c>
      <c r="H101" s="19" t="s">
        <v>442</v>
      </c>
      <c r="I101" s="19" t="s">
        <v>443</v>
      </c>
      <c r="J101" s="2" t="s">
        <v>2</v>
      </c>
      <c r="K101" s="20">
        <v>45484</v>
      </c>
      <c r="L101" s="20">
        <v>45469</v>
      </c>
      <c r="M101" s="22">
        <v>865</v>
      </c>
      <c r="N101" s="21">
        <v>821750</v>
      </c>
      <c r="O101" s="2" t="s">
        <v>76</v>
      </c>
      <c r="P101" s="2" t="s">
        <v>4</v>
      </c>
      <c r="Q101" s="2" t="s">
        <v>5</v>
      </c>
      <c r="R101" s="21">
        <f t="shared" si="9"/>
        <v>821750</v>
      </c>
      <c r="S101" s="21">
        <v>821750</v>
      </c>
      <c r="T101" s="5">
        <f t="shared" si="10"/>
        <v>15000</v>
      </c>
      <c r="V101">
        <f t="shared" si="11"/>
        <v>7</v>
      </c>
      <c r="W101">
        <f t="shared" si="12"/>
        <v>6</v>
      </c>
      <c r="X101" s="5">
        <f t="shared" si="13"/>
        <v>0</v>
      </c>
      <c r="Y101" s="2" t="s">
        <v>6</v>
      </c>
      <c r="Z101" s="2" t="s">
        <v>2</v>
      </c>
      <c r="AA101">
        <v>738</v>
      </c>
      <c r="AC101">
        <f t="shared" si="14"/>
        <v>2024</v>
      </c>
      <c r="AD101">
        <f t="shared" si="15"/>
        <v>2024</v>
      </c>
      <c r="AE101">
        <f t="shared" si="16"/>
        <v>2024</v>
      </c>
      <c r="AF101">
        <f t="shared" si="17"/>
        <v>6</v>
      </c>
    </row>
    <row r="102" spans="1:32" x14ac:dyDescent="0.25">
      <c r="A102" s="20">
        <v>45468</v>
      </c>
      <c r="B102" s="2">
        <v>1088</v>
      </c>
      <c r="C102" s="19" t="s">
        <v>1</v>
      </c>
      <c r="D102" s="19" t="s">
        <v>2</v>
      </c>
      <c r="E102" s="19" t="s">
        <v>2</v>
      </c>
      <c r="F102" s="19" t="s">
        <v>137</v>
      </c>
      <c r="G102" s="19" t="s">
        <v>138</v>
      </c>
      <c r="H102" s="19" t="s">
        <v>139</v>
      </c>
      <c r="I102" s="19" t="s">
        <v>444</v>
      </c>
      <c r="J102" s="2" t="s">
        <v>2</v>
      </c>
      <c r="K102" s="20">
        <v>45468</v>
      </c>
      <c r="L102" s="20">
        <v>45470</v>
      </c>
      <c r="M102" s="22">
        <v>110</v>
      </c>
      <c r="N102" s="21">
        <v>118750</v>
      </c>
      <c r="O102" s="2" t="s">
        <v>76</v>
      </c>
      <c r="P102" s="2" t="s">
        <v>4</v>
      </c>
      <c r="Q102" s="2" t="s">
        <v>5</v>
      </c>
      <c r="R102" s="21">
        <f t="shared" si="9"/>
        <v>118750</v>
      </c>
      <c r="S102" s="21">
        <v>118750</v>
      </c>
      <c r="T102" s="5">
        <f t="shared" si="10"/>
        <v>15000</v>
      </c>
      <c r="V102">
        <f t="shared" si="11"/>
        <v>6</v>
      </c>
      <c r="W102">
        <f t="shared" si="12"/>
        <v>6</v>
      </c>
      <c r="X102" s="5">
        <f t="shared" si="13"/>
        <v>0</v>
      </c>
      <c r="Y102" s="2" t="s">
        <v>6</v>
      </c>
      <c r="Z102" s="2" t="s">
        <v>2</v>
      </c>
      <c r="AA102">
        <v>730</v>
      </c>
      <c r="AC102">
        <f t="shared" si="14"/>
        <v>2024</v>
      </c>
      <c r="AD102">
        <f t="shared" si="15"/>
        <v>2024</v>
      </c>
      <c r="AE102">
        <f t="shared" si="16"/>
        <v>2024</v>
      </c>
      <c r="AF102">
        <f t="shared" si="17"/>
        <v>6</v>
      </c>
    </row>
    <row r="103" spans="1:32" x14ac:dyDescent="0.25">
      <c r="A103" s="20">
        <v>45468</v>
      </c>
      <c r="B103" s="2">
        <v>1089</v>
      </c>
      <c r="C103" s="19" t="s">
        <v>148</v>
      </c>
      <c r="D103" s="19" t="s">
        <v>2</v>
      </c>
      <c r="E103" s="19" t="s">
        <v>2</v>
      </c>
      <c r="F103" s="19" t="s">
        <v>445</v>
      </c>
      <c r="G103" s="19" t="s">
        <v>446</v>
      </c>
      <c r="H103" s="19" t="s">
        <v>447</v>
      </c>
      <c r="I103" s="19" t="s">
        <v>448</v>
      </c>
      <c r="J103" s="2" t="s">
        <v>2</v>
      </c>
      <c r="K103" s="20">
        <v>45468</v>
      </c>
      <c r="L103" s="20">
        <v>45476</v>
      </c>
      <c r="M103" s="22">
        <v>89</v>
      </c>
      <c r="N103" s="21">
        <v>85500</v>
      </c>
      <c r="O103" s="2" t="s">
        <v>76</v>
      </c>
      <c r="P103" s="2" t="s">
        <v>4</v>
      </c>
      <c r="Q103" s="2" t="s">
        <v>5</v>
      </c>
      <c r="R103" s="21">
        <f t="shared" si="9"/>
        <v>85500</v>
      </c>
      <c r="S103" s="21">
        <v>85500</v>
      </c>
      <c r="T103" s="5">
        <f t="shared" si="10"/>
        <v>15000</v>
      </c>
      <c r="V103">
        <f t="shared" si="11"/>
        <v>6</v>
      </c>
      <c r="W103">
        <f t="shared" si="12"/>
        <v>6</v>
      </c>
      <c r="X103" s="5">
        <f t="shared" si="13"/>
        <v>0</v>
      </c>
      <c r="Y103" s="2" t="s">
        <v>6</v>
      </c>
      <c r="Z103" s="2" t="s">
        <v>2</v>
      </c>
      <c r="AA103">
        <v>729</v>
      </c>
      <c r="AC103">
        <f t="shared" si="14"/>
        <v>2024</v>
      </c>
      <c r="AD103">
        <f t="shared" si="15"/>
        <v>2024</v>
      </c>
      <c r="AE103">
        <f t="shared" si="16"/>
        <v>2024</v>
      </c>
      <c r="AF103">
        <f t="shared" si="17"/>
        <v>7</v>
      </c>
    </row>
    <row r="104" spans="1:32" x14ac:dyDescent="0.25">
      <c r="A104" s="20">
        <v>45469</v>
      </c>
      <c r="B104" s="2">
        <v>1090</v>
      </c>
      <c r="C104" s="19" t="s">
        <v>449</v>
      </c>
      <c r="D104" s="19" t="s">
        <v>2</v>
      </c>
      <c r="E104" s="19" t="s">
        <v>2</v>
      </c>
      <c r="F104" s="19" t="s">
        <v>450</v>
      </c>
      <c r="G104" s="19" t="s">
        <v>451</v>
      </c>
      <c r="H104" s="19" t="s">
        <v>452</v>
      </c>
      <c r="I104" s="19" t="s">
        <v>453</v>
      </c>
      <c r="J104" s="2" t="s">
        <v>2</v>
      </c>
      <c r="K104" s="20">
        <v>45470</v>
      </c>
      <c r="L104" s="20">
        <v>45470</v>
      </c>
      <c r="M104" s="22">
        <v>110</v>
      </c>
      <c r="N104" s="21">
        <v>96000</v>
      </c>
      <c r="O104" s="2" t="s">
        <v>76</v>
      </c>
      <c r="P104" s="2" t="s">
        <v>4</v>
      </c>
      <c r="Q104" s="2" t="s">
        <v>5</v>
      </c>
      <c r="R104" s="21">
        <f t="shared" si="9"/>
        <v>96000</v>
      </c>
      <c r="S104" s="21">
        <v>96000</v>
      </c>
      <c r="T104" s="5">
        <f t="shared" si="10"/>
        <v>15000</v>
      </c>
      <c r="V104">
        <f t="shared" si="11"/>
        <v>6</v>
      </c>
      <c r="W104">
        <f t="shared" si="12"/>
        <v>6</v>
      </c>
      <c r="X104" s="5">
        <f t="shared" si="13"/>
        <v>0</v>
      </c>
      <c r="Y104" s="2" t="s">
        <v>6</v>
      </c>
      <c r="Z104" s="2" t="s">
        <v>2</v>
      </c>
      <c r="AA104">
        <v>737</v>
      </c>
      <c r="AC104">
        <f t="shared" si="14"/>
        <v>2024</v>
      </c>
      <c r="AD104">
        <f t="shared" si="15"/>
        <v>2024</v>
      </c>
      <c r="AE104">
        <f t="shared" si="16"/>
        <v>2024</v>
      </c>
      <c r="AF104">
        <f t="shared" si="17"/>
        <v>6</v>
      </c>
    </row>
    <row r="105" spans="1:32" x14ac:dyDescent="0.25">
      <c r="A105" s="20">
        <v>45469</v>
      </c>
      <c r="B105" s="2">
        <v>1091</v>
      </c>
      <c r="C105" s="19" t="s">
        <v>0</v>
      </c>
      <c r="D105" s="19" t="s">
        <v>112</v>
      </c>
      <c r="E105" s="19" t="s">
        <v>2</v>
      </c>
      <c r="F105" s="19" t="s">
        <v>454</v>
      </c>
      <c r="G105" s="19" t="s">
        <v>335</v>
      </c>
      <c r="H105" s="19" t="s">
        <v>455</v>
      </c>
      <c r="I105" s="19" t="s">
        <v>456</v>
      </c>
      <c r="J105" s="2" t="s">
        <v>2</v>
      </c>
      <c r="K105" s="20">
        <v>45489</v>
      </c>
      <c r="L105" s="20">
        <v>45502</v>
      </c>
      <c r="M105" s="22">
        <v>0</v>
      </c>
      <c r="N105" s="21">
        <v>0</v>
      </c>
      <c r="O105" s="2" t="s">
        <v>76</v>
      </c>
      <c r="P105" s="2" t="s">
        <v>307</v>
      </c>
      <c r="Q105" s="2" t="s">
        <v>5</v>
      </c>
      <c r="R105" s="21">
        <f t="shared" si="9"/>
        <v>0</v>
      </c>
      <c r="S105" s="21">
        <v>0</v>
      </c>
      <c r="T105" s="5">
        <f t="shared" si="10"/>
        <v>15000</v>
      </c>
      <c r="V105">
        <f t="shared" si="11"/>
        <v>7</v>
      </c>
      <c r="W105">
        <f t="shared" si="12"/>
        <v>6</v>
      </c>
      <c r="X105" s="5">
        <f t="shared" si="13"/>
        <v>0</v>
      </c>
      <c r="Y105" s="2" t="s">
        <v>6</v>
      </c>
      <c r="Z105" s="2" t="s">
        <v>2</v>
      </c>
      <c r="AC105">
        <f t="shared" si="14"/>
        <v>2024</v>
      </c>
      <c r="AD105">
        <f t="shared" si="15"/>
        <v>2024</v>
      </c>
      <c r="AE105">
        <f t="shared" si="16"/>
        <v>2024</v>
      </c>
      <c r="AF105">
        <f t="shared" si="17"/>
        <v>7</v>
      </c>
    </row>
    <row r="106" spans="1:32" x14ac:dyDescent="0.25">
      <c r="A106" s="20">
        <v>45470</v>
      </c>
      <c r="B106" s="2">
        <v>1092</v>
      </c>
      <c r="C106" s="19" t="s">
        <v>368</v>
      </c>
      <c r="D106" s="19" t="s">
        <v>2</v>
      </c>
      <c r="E106" s="19" t="s">
        <v>2</v>
      </c>
      <c r="F106" s="19" t="s">
        <v>457</v>
      </c>
      <c r="G106" s="19" t="s">
        <v>458</v>
      </c>
      <c r="H106" s="19" t="s">
        <v>459</v>
      </c>
      <c r="I106" s="19" t="s">
        <v>460</v>
      </c>
      <c r="J106" s="2" t="s">
        <v>2</v>
      </c>
      <c r="K106" s="20">
        <v>45470</v>
      </c>
      <c r="L106" s="20"/>
      <c r="M106" s="22">
        <v>500</v>
      </c>
      <c r="N106" s="21">
        <v>480000</v>
      </c>
      <c r="O106" s="2" t="s">
        <v>3</v>
      </c>
      <c r="P106" s="2" t="s">
        <v>129</v>
      </c>
      <c r="Q106" s="2" t="s">
        <v>98</v>
      </c>
      <c r="R106" s="21">
        <f t="shared" si="9"/>
        <v>0</v>
      </c>
      <c r="S106" s="21">
        <v>0</v>
      </c>
      <c r="T106" s="5">
        <f t="shared" si="10"/>
        <v>15000</v>
      </c>
      <c r="V106">
        <f t="shared" si="11"/>
        <v>6</v>
      </c>
      <c r="W106">
        <f t="shared" si="12"/>
        <v>6</v>
      </c>
      <c r="X106" s="5">
        <f t="shared" si="13"/>
        <v>0</v>
      </c>
      <c r="Y106" s="2" t="s">
        <v>6</v>
      </c>
      <c r="Z106" s="2" t="s">
        <v>2</v>
      </c>
      <c r="AC106">
        <f t="shared" si="14"/>
        <v>2024</v>
      </c>
      <c r="AD106">
        <f t="shared" si="15"/>
        <v>2024</v>
      </c>
      <c r="AE106" t="str">
        <f t="shared" si="16"/>
        <v/>
      </c>
      <c r="AF106" t="str">
        <f t="shared" si="17"/>
        <v/>
      </c>
    </row>
    <row r="107" spans="1:32" x14ac:dyDescent="0.25">
      <c r="A107" s="20">
        <v>45482</v>
      </c>
      <c r="B107" s="2">
        <v>1093</v>
      </c>
      <c r="C107" s="19" t="s">
        <v>461</v>
      </c>
      <c r="D107" s="19" t="s">
        <v>2</v>
      </c>
      <c r="E107" s="19" t="s">
        <v>2</v>
      </c>
      <c r="F107" s="19" t="s">
        <v>400</v>
      </c>
      <c r="G107" s="19" t="s">
        <v>196</v>
      </c>
      <c r="H107" s="19" t="s">
        <v>462</v>
      </c>
      <c r="I107" s="19" t="s">
        <v>463</v>
      </c>
      <c r="J107" s="2" t="s">
        <v>2</v>
      </c>
      <c r="K107" s="20">
        <v>45482</v>
      </c>
      <c r="L107" s="20">
        <v>45483</v>
      </c>
      <c r="M107" s="22">
        <v>206</v>
      </c>
      <c r="N107" s="21">
        <v>214000</v>
      </c>
      <c r="O107" s="2" t="s">
        <v>76</v>
      </c>
      <c r="P107" s="2" t="s">
        <v>4</v>
      </c>
      <c r="Q107" s="2" t="s">
        <v>5</v>
      </c>
      <c r="R107" s="21">
        <f t="shared" si="9"/>
        <v>214000</v>
      </c>
      <c r="S107" s="21">
        <v>214000</v>
      </c>
      <c r="T107" s="5">
        <f t="shared" si="10"/>
        <v>15000</v>
      </c>
      <c r="V107">
        <f t="shared" si="11"/>
        <v>7</v>
      </c>
      <c r="W107">
        <f t="shared" si="12"/>
        <v>7</v>
      </c>
      <c r="X107" s="5">
        <f t="shared" si="13"/>
        <v>0</v>
      </c>
      <c r="Y107" s="2" t="s">
        <v>6</v>
      </c>
      <c r="Z107" s="2" t="s">
        <v>2</v>
      </c>
      <c r="AA107">
        <v>735</v>
      </c>
      <c r="AC107">
        <f t="shared" si="14"/>
        <v>2024</v>
      </c>
      <c r="AD107">
        <f t="shared" si="15"/>
        <v>2024</v>
      </c>
      <c r="AE107">
        <f t="shared" si="16"/>
        <v>2024</v>
      </c>
      <c r="AF107">
        <f t="shared" si="17"/>
        <v>7</v>
      </c>
    </row>
    <row r="108" spans="1:32" x14ac:dyDescent="0.25">
      <c r="A108" s="20">
        <v>45484</v>
      </c>
      <c r="B108" s="2">
        <v>1094</v>
      </c>
      <c r="C108" s="19" t="s">
        <v>373</v>
      </c>
      <c r="D108" s="19" t="s">
        <v>2</v>
      </c>
      <c r="E108" s="19" t="s">
        <v>2</v>
      </c>
      <c r="F108" s="19" t="s">
        <v>87</v>
      </c>
      <c r="G108" s="19" t="s">
        <v>352</v>
      </c>
      <c r="H108" s="19" t="s">
        <v>432</v>
      </c>
      <c r="I108" s="19" t="s">
        <v>464</v>
      </c>
      <c r="J108" s="2" t="s">
        <v>2</v>
      </c>
      <c r="K108" s="20">
        <v>45485</v>
      </c>
      <c r="L108" s="20">
        <v>45491</v>
      </c>
      <c r="M108" s="22">
        <v>126</v>
      </c>
      <c r="N108" s="21">
        <v>120000</v>
      </c>
      <c r="O108" s="2" t="s">
        <v>76</v>
      </c>
      <c r="P108" s="2" t="s">
        <v>4</v>
      </c>
      <c r="Q108" s="2" t="s">
        <v>5</v>
      </c>
      <c r="R108" s="21">
        <f t="shared" si="9"/>
        <v>120000</v>
      </c>
      <c r="S108" s="21">
        <v>120000</v>
      </c>
      <c r="T108" s="5">
        <f t="shared" si="10"/>
        <v>15000</v>
      </c>
      <c r="V108">
        <f t="shared" si="11"/>
        <v>7</v>
      </c>
      <c r="W108">
        <f t="shared" si="12"/>
        <v>7</v>
      </c>
      <c r="X108" s="5">
        <f t="shared" si="13"/>
        <v>0</v>
      </c>
      <c r="Y108" s="2" t="s">
        <v>6</v>
      </c>
      <c r="Z108" s="2" t="s">
        <v>2</v>
      </c>
      <c r="AA108">
        <v>736</v>
      </c>
      <c r="AC108">
        <f t="shared" si="14"/>
        <v>2024</v>
      </c>
      <c r="AD108">
        <f t="shared" si="15"/>
        <v>2024</v>
      </c>
      <c r="AE108">
        <f t="shared" si="16"/>
        <v>2024</v>
      </c>
      <c r="AF108">
        <f t="shared" si="17"/>
        <v>7</v>
      </c>
    </row>
    <row r="109" spans="1:32" x14ac:dyDescent="0.25">
      <c r="A109" s="20">
        <v>45488</v>
      </c>
      <c r="B109" s="2">
        <v>1095</v>
      </c>
      <c r="C109" s="19" t="s">
        <v>465</v>
      </c>
      <c r="D109" s="19" t="s">
        <v>2</v>
      </c>
      <c r="E109" s="19" t="s">
        <v>2</v>
      </c>
      <c r="F109" s="19" t="s">
        <v>466</v>
      </c>
      <c r="G109" s="19" t="s">
        <v>370</v>
      </c>
      <c r="H109" s="19" t="s">
        <v>467</v>
      </c>
      <c r="I109" s="19" t="s">
        <v>468</v>
      </c>
      <c r="J109" s="2" t="s">
        <v>2</v>
      </c>
      <c r="K109" s="20">
        <v>45491</v>
      </c>
      <c r="L109" s="20">
        <v>45488</v>
      </c>
      <c r="M109" s="22">
        <v>450</v>
      </c>
      <c r="N109" s="21">
        <v>432000</v>
      </c>
      <c r="O109" s="2" t="s">
        <v>76</v>
      </c>
      <c r="P109" s="2" t="s">
        <v>4</v>
      </c>
      <c r="Q109" s="2" t="s">
        <v>5</v>
      </c>
      <c r="R109" s="21">
        <f t="shared" si="9"/>
        <v>432000</v>
      </c>
      <c r="S109" s="21">
        <v>432000</v>
      </c>
      <c r="T109" s="5">
        <f t="shared" si="10"/>
        <v>15000</v>
      </c>
      <c r="V109">
        <f t="shared" si="11"/>
        <v>7</v>
      </c>
      <c r="W109">
        <f t="shared" si="12"/>
        <v>7</v>
      </c>
      <c r="X109" s="5">
        <f t="shared" si="13"/>
        <v>0</v>
      </c>
      <c r="Y109" s="2" t="s">
        <v>6</v>
      </c>
      <c r="Z109" s="2" t="s">
        <v>2</v>
      </c>
      <c r="AA109">
        <v>742</v>
      </c>
      <c r="AC109">
        <f t="shared" si="14"/>
        <v>2024</v>
      </c>
      <c r="AD109">
        <f t="shared" si="15"/>
        <v>2024</v>
      </c>
      <c r="AE109">
        <f t="shared" si="16"/>
        <v>2024</v>
      </c>
      <c r="AF109">
        <f t="shared" si="17"/>
        <v>7</v>
      </c>
    </row>
    <row r="110" spans="1:32" x14ac:dyDescent="0.25">
      <c r="A110" s="20">
        <v>45488</v>
      </c>
      <c r="B110" s="2">
        <v>1096</v>
      </c>
      <c r="C110" s="19" t="s">
        <v>0</v>
      </c>
      <c r="D110" s="19" t="s">
        <v>112</v>
      </c>
      <c r="E110" s="19" t="s">
        <v>469</v>
      </c>
      <c r="F110" s="19" t="s">
        <v>470</v>
      </c>
      <c r="G110" s="19" t="s">
        <v>471</v>
      </c>
      <c r="H110" s="19" t="s">
        <v>472</v>
      </c>
      <c r="I110" s="19" t="s">
        <v>473</v>
      </c>
      <c r="J110" s="2" t="s">
        <v>474</v>
      </c>
      <c r="K110" s="20">
        <v>45488</v>
      </c>
      <c r="L110" s="20">
        <v>45504</v>
      </c>
      <c r="M110" s="22">
        <v>0</v>
      </c>
      <c r="N110" s="21">
        <v>485550</v>
      </c>
      <c r="O110" s="2" t="s">
        <v>76</v>
      </c>
      <c r="P110" s="2" t="s">
        <v>4</v>
      </c>
      <c r="Q110" s="2" t="s">
        <v>5</v>
      </c>
      <c r="R110" s="21">
        <f t="shared" si="9"/>
        <v>485550</v>
      </c>
      <c r="S110" s="21">
        <v>485550</v>
      </c>
      <c r="T110" s="5">
        <f t="shared" si="10"/>
        <v>15000</v>
      </c>
      <c r="V110">
        <f t="shared" si="11"/>
        <v>7</v>
      </c>
      <c r="W110">
        <f t="shared" si="12"/>
        <v>7</v>
      </c>
      <c r="X110" s="5">
        <f t="shared" si="13"/>
        <v>0</v>
      </c>
      <c r="Y110" s="2" t="s">
        <v>6</v>
      </c>
      <c r="Z110" s="2" t="s">
        <v>2</v>
      </c>
      <c r="AC110">
        <f t="shared" si="14"/>
        <v>2024</v>
      </c>
      <c r="AD110">
        <f t="shared" si="15"/>
        <v>2024</v>
      </c>
      <c r="AE110">
        <f t="shared" si="16"/>
        <v>2024</v>
      </c>
      <c r="AF110">
        <f t="shared" si="17"/>
        <v>7</v>
      </c>
    </row>
    <row r="111" spans="1:32" x14ac:dyDescent="0.25">
      <c r="A111" s="20">
        <v>45488</v>
      </c>
      <c r="B111" s="2">
        <v>1097</v>
      </c>
      <c r="C111" s="19" t="s">
        <v>0</v>
      </c>
      <c r="D111" s="19" t="s">
        <v>112</v>
      </c>
      <c r="E111" s="19" t="s">
        <v>469</v>
      </c>
      <c r="F111" s="19" t="s">
        <v>475</v>
      </c>
      <c r="G111" s="19" t="s">
        <v>471</v>
      </c>
      <c r="H111" s="19" t="s">
        <v>476</v>
      </c>
      <c r="I111" s="19" t="s">
        <v>477</v>
      </c>
      <c r="J111" s="2" t="s">
        <v>478</v>
      </c>
      <c r="K111" s="20">
        <v>45505</v>
      </c>
      <c r="L111" s="20">
        <v>45504</v>
      </c>
      <c r="M111" s="22">
        <v>0</v>
      </c>
      <c r="N111" s="21">
        <v>571455</v>
      </c>
      <c r="O111" s="2" t="s">
        <v>76</v>
      </c>
      <c r="P111" s="2" t="s">
        <v>4</v>
      </c>
      <c r="Q111" s="2" t="s">
        <v>5</v>
      </c>
      <c r="R111" s="21">
        <f t="shared" si="9"/>
        <v>571455</v>
      </c>
      <c r="S111" s="21">
        <v>571455</v>
      </c>
      <c r="T111" s="5">
        <f t="shared" si="10"/>
        <v>15000</v>
      </c>
      <c r="V111">
        <f t="shared" si="11"/>
        <v>8</v>
      </c>
      <c r="W111">
        <f t="shared" si="12"/>
        <v>7</v>
      </c>
      <c r="X111" s="5">
        <f t="shared" si="13"/>
        <v>0</v>
      </c>
      <c r="Y111" s="2" t="s">
        <v>6</v>
      </c>
      <c r="Z111" s="2" t="s">
        <v>2</v>
      </c>
      <c r="AC111">
        <f t="shared" si="14"/>
        <v>2024</v>
      </c>
      <c r="AD111">
        <f t="shared" si="15"/>
        <v>2024</v>
      </c>
      <c r="AE111">
        <f t="shared" si="16"/>
        <v>2024</v>
      </c>
      <c r="AF111">
        <f t="shared" si="17"/>
        <v>7</v>
      </c>
    </row>
    <row r="112" spans="1:32" x14ac:dyDescent="0.25">
      <c r="A112" s="20">
        <v>45488</v>
      </c>
      <c r="B112" s="2">
        <v>1098</v>
      </c>
      <c r="C112" s="19" t="s">
        <v>0</v>
      </c>
      <c r="D112" s="19" t="s">
        <v>112</v>
      </c>
      <c r="E112" s="19" t="s">
        <v>469</v>
      </c>
      <c r="F112" s="19" t="s">
        <v>475</v>
      </c>
      <c r="G112" s="19" t="s">
        <v>471</v>
      </c>
      <c r="H112" s="19" t="s">
        <v>476</v>
      </c>
      <c r="I112" s="19" t="s">
        <v>479</v>
      </c>
      <c r="J112" s="2" t="s">
        <v>480</v>
      </c>
      <c r="K112" s="20">
        <v>45505</v>
      </c>
      <c r="L112" s="20">
        <v>45505</v>
      </c>
      <c r="M112" s="22">
        <v>0</v>
      </c>
      <c r="N112" s="21">
        <v>571455</v>
      </c>
      <c r="O112" s="2" t="s">
        <v>76</v>
      </c>
      <c r="P112" s="2" t="s">
        <v>4</v>
      </c>
      <c r="Q112" s="2" t="s">
        <v>5</v>
      </c>
      <c r="R112" s="21">
        <f t="shared" si="9"/>
        <v>571455</v>
      </c>
      <c r="S112" s="21">
        <v>571455</v>
      </c>
      <c r="T112" s="5">
        <f t="shared" si="10"/>
        <v>15000</v>
      </c>
      <c r="V112">
        <f t="shared" si="11"/>
        <v>8</v>
      </c>
      <c r="W112">
        <f t="shared" si="12"/>
        <v>7</v>
      </c>
      <c r="X112" s="5">
        <f t="shared" si="13"/>
        <v>0</v>
      </c>
      <c r="Y112" s="2" t="s">
        <v>6</v>
      </c>
      <c r="Z112" s="2" t="s">
        <v>2</v>
      </c>
      <c r="AC112">
        <f t="shared" si="14"/>
        <v>2024</v>
      </c>
      <c r="AD112">
        <f t="shared" si="15"/>
        <v>2024</v>
      </c>
      <c r="AE112">
        <f t="shared" si="16"/>
        <v>2024</v>
      </c>
      <c r="AF112">
        <f t="shared" si="17"/>
        <v>8</v>
      </c>
    </row>
    <row r="113" spans="1:32" x14ac:dyDescent="0.25">
      <c r="A113" s="20">
        <v>45488</v>
      </c>
      <c r="B113" s="2">
        <v>1099</v>
      </c>
      <c r="C113" s="19" t="s">
        <v>0</v>
      </c>
      <c r="D113" s="19" t="s">
        <v>112</v>
      </c>
      <c r="E113" s="19" t="s">
        <v>469</v>
      </c>
      <c r="F113" s="19" t="s">
        <v>475</v>
      </c>
      <c r="G113" s="19" t="s">
        <v>471</v>
      </c>
      <c r="H113" s="19" t="s">
        <v>476</v>
      </c>
      <c r="I113" s="19" t="s">
        <v>481</v>
      </c>
      <c r="J113" s="2" t="s">
        <v>482</v>
      </c>
      <c r="K113" s="20">
        <v>45505</v>
      </c>
      <c r="L113" s="20">
        <v>45505</v>
      </c>
      <c r="M113" s="22">
        <v>0</v>
      </c>
      <c r="N113" s="21">
        <v>571455</v>
      </c>
      <c r="O113" s="2" t="s">
        <v>76</v>
      </c>
      <c r="P113" s="2" t="s">
        <v>4</v>
      </c>
      <c r="Q113" s="2" t="s">
        <v>5</v>
      </c>
      <c r="R113" s="21">
        <f t="shared" si="9"/>
        <v>571455</v>
      </c>
      <c r="S113" s="21">
        <v>571455</v>
      </c>
      <c r="T113" s="5">
        <f t="shared" si="10"/>
        <v>15000</v>
      </c>
      <c r="V113">
        <f t="shared" si="11"/>
        <v>8</v>
      </c>
      <c r="W113">
        <f t="shared" si="12"/>
        <v>7</v>
      </c>
      <c r="X113" s="5">
        <f t="shared" si="13"/>
        <v>0</v>
      </c>
      <c r="Y113" s="2" t="s">
        <v>6</v>
      </c>
      <c r="Z113" s="2" t="s">
        <v>2</v>
      </c>
      <c r="AC113">
        <f t="shared" si="14"/>
        <v>2024</v>
      </c>
      <c r="AD113">
        <f t="shared" si="15"/>
        <v>2024</v>
      </c>
      <c r="AE113">
        <f t="shared" si="16"/>
        <v>2024</v>
      </c>
      <c r="AF113">
        <f t="shared" si="17"/>
        <v>8</v>
      </c>
    </row>
    <row r="114" spans="1:32" x14ac:dyDescent="0.25">
      <c r="A114" s="20">
        <v>45489</v>
      </c>
      <c r="B114" s="2">
        <v>1100</v>
      </c>
      <c r="C114" s="19" t="s">
        <v>0</v>
      </c>
      <c r="D114" s="19" t="s">
        <v>112</v>
      </c>
      <c r="E114" s="19" t="s">
        <v>469</v>
      </c>
      <c r="F114" s="19" t="s">
        <v>483</v>
      </c>
      <c r="G114" s="19" t="s">
        <v>471</v>
      </c>
      <c r="H114" s="19" t="s">
        <v>484</v>
      </c>
      <c r="I114" s="19" t="s">
        <v>485</v>
      </c>
      <c r="J114" s="2" t="s">
        <v>486</v>
      </c>
      <c r="K114" s="20">
        <v>45489</v>
      </c>
      <c r="L114" s="20">
        <v>45505</v>
      </c>
      <c r="M114" s="22">
        <v>0</v>
      </c>
      <c r="N114" s="21">
        <v>0</v>
      </c>
      <c r="O114" s="2" t="s">
        <v>76</v>
      </c>
      <c r="P114" s="2" t="s">
        <v>321</v>
      </c>
      <c r="Q114" s="2" t="s">
        <v>5</v>
      </c>
      <c r="R114" s="21">
        <f t="shared" si="9"/>
        <v>0</v>
      </c>
      <c r="S114" s="21">
        <v>0</v>
      </c>
      <c r="T114" s="5">
        <f t="shared" si="10"/>
        <v>15000</v>
      </c>
      <c r="V114">
        <f t="shared" si="11"/>
        <v>7</v>
      </c>
      <c r="W114">
        <f t="shared" si="12"/>
        <v>7</v>
      </c>
      <c r="X114" s="5">
        <f t="shared" si="13"/>
        <v>0</v>
      </c>
      <c r="Y114" s="2" t="s">
        <v>6</v>
      </c>
      <c r="Z114" s="2" t="s">
        <v>2</v>
      </c>
      <c r="AC114">
        <f t="shared" si="14"/>
        <v>2024</v>
      </c>
      <c r="AD114">
        <f t="shared" si="15"/>
        <v>2024</v>
      </c>
      <c r="AE114">
        <f t="shared" si="16"/>
        <v>2024</v>
      </c>
      <c r="AF114">
        <f t="shared" si="17"/>
        <v>8</v>
      </c>
    </row>
    <row r="115" spans="1:32" x14ac:dyDescent="0.25">
      <c r="A115" s="20">
        <v>45489</v>
      </c>
      <c r="B115" s="2">
        <v>1101</v>
      </c>
      <c r="C115" s="19" t="s">
        <v>0</v>
      </c>
      <c r="D115" s="19" t="s">
        <v>112</v>
      </c>
      <c r="E115" s="19" t="s">
        <v>469</v>
      </c>
      <c r="F115" s="19" t="s">
        <v>309</v>
      </c>
      <c r="G115" s="19" t="s">
        <v>487</v>
      </c>
      <c r="H115" s="19" t="s">
        <v>488</v>
      </c>
      <c r="I115" s="19" t="s">
        <v>489</v>
      </c>
      <c r="J115" s="2" t="s">
        <v>2</v>
      </c>
      <c r="K115" s="20">
        <v>45489</v>
      </c>
      <c r="L115" s="20">
        <v>45505</v>
      </c>
      <c r="M115" s="22">
        <v>0</v>
      </c>
      <c r="N115" s="21">
        <v>649890</v>
      </c>
      <c r="O115" s="2" t="s">
        <v>76</v>
      </c>
      <c r="P115" s="2" t="s">
        <v>4</v>
      </c>
      <c r="Q115" s="2" t="s">
        <v>5</v>
      </c>
      <c r="R115" s="21">
        <f t="shared" si="9"/>
        <v>649890</v>
      </c>
      <c r="S115" s="21">
        <v>649890</v>
      </c>
      <c r="T115" s="5">
        <f t="shared" si="10"/>
        <v>15000</v>
      </c>
      <c r="V115">
        <f t="shared" si="11"/>
        <v>7</v>
      </c>
      <c r="W115">
        <f t="shared" si="12"/>
        <v>7</v>
      </c>
      <c r="X115" s="5">
        <f t="shared" si="13"/>
        <v>0</v>
      </c>
      <c r="Y115" s="2" t="s">
        <v>6</v>
      </c>
      <c r="Z115" s="2" t="s">
        <v>2</v>
      </c>
      <c r="AC115">
        <f t="shared" si="14"/>
        <v>2024</v>
      </c>
      <c r="AD115">
        <f t="shared" si="15"/>
        <v>2024</v>
      </c>
      <c r="AE115">
        <f t="shared" si="16"/>
        <v>2024</v>
      </c>
      <c r="AF115">
        <f t="shared" si="17"/>
        <v>8</v>
      </c>
    </row>
    <row r="116" spans="1:32" x14ac:dyDescent="0.25">
      <c r="A116" s="20">
        <v>45491</v>
      </c>
      <c r="B116" s="2">
        <v>1102</v>
      </c>
      <c r="C116" s="19" t="s">
        <v>373</v>
      </c>
      <c r="D116" s="19" t="s">
        <v>2</v>
      </c>
      <c r="E116" s="19" t="s">
        <v>2</v>
      </c>
      <c r="F116" s="19" t="s">
        <v>400</v>
      </c>
      <c r="G116" s="19" t="s">
        <v>95</v>
      </c>
      <c r="H116" s="19" t="s">
        <v>96</v>
      </c>
      <c r="I116" s="19" t="s">
        <v>490</v>
      </c>
      <c r="J116" s="2" t="s">
        <v>2</v>
      </c>
      <c r="K116" s="20">
        <v>45491</v>
      </c>
      <c r="L116" s="20">
        <v>45497</v>
      </c>
      <c r="M116" s="22">
        <v>165</v>
      </c>
      <c r="N116" s="21">
        <v>159500</v>
      </c>
      <c r="O116" s="2" t="s">
        <v>76</v>
      </c>
      <c r="P116" s="2" t="s">
        <v>4</v>
      </c>
      <c r="Q116" s="2" t="s">
        <v>5</v>
      </c>
      <c r="R116" s="21">
        <f t="shared" si="9"/>
        <v>159500</v>
      </c>
      <c r="S116" s="21">
        <v>159500</v>
      </c>
      <c r="T116" s="5">
        <f t="shared" si="10"/>
        <v>15000</v>
      </c>
      <c r="V116">
        <f t="shared" si="11"/>
        <v>7</v>
      </c>
      <c r="W116">
        <f t="shared" si="12"/>
        <v>7</v>
      </c>
      <c r="X116" s="5">
        <f t="shared" si="13"/>
        <v>0</v>
      </c>
      <c r="Y116" s="2" t="s">
        <v>6</v>
      </c>
      <c r="Z116" s="2" t="s">
        <v>2</v>
      </c>
      <c r="AA116">
        <v>739</v>
      </c>
      <c r="AC116">
        <f t="shared" si="14"/>
        <v>2024</v>
      </c>
      <c r="AD116">
        <f t="shared" si="15"/>
        <v>2024</v>
      </c>
      <c r="AE116">
        <f t="shared" si="16"/>
        <v>2024</v>
      </c>
      <c r="AF116">
        <f t="shared" si="17"/>
        <v>7</v>
      </c>
    </row>
    <row r="117" spans="1:32" x14ac:dyDescent="0.25">
      <c r="A117" s="20">
        <v>45492</v>
      </c>
      <c r="B117" s="2">
        <v>1103</v>
      </c>
      <c r="C117" s="19" t="s">
        <v>491</v>
      </c>
      <c r="D117" s="19" t="s">
        <v>2</v>
      </c>
      <c r="E117" s="19" t="s">
        <v>2</v>
      </c>
      <c r="F117" s="19" t="s">
        <v>492</v>
      </c>
      <c r="G117" s="19" t="s">
        <v>493</v>
      </c>
      <c r="H117" s="19" t="s">
        <v>494</v>
      </c>
      <c r="I117" s="19" t="s">
        <v>495</v>
      </c>
      <c r="J117" s="2" t="s">
        <v>2</v>
      </c>
      <c r="K117" s="20">
        <v>45502</v>
      </c>
      <c r="L117" s="20">
        <v>45492</v>
      </c>
      <c r="M117" s="22">
        <v>250</v>
      </c>
      <c r="N117" s="21">
        <v>256000</v>
      </c>
      <c r="O117" s="2" t="s">
        <v>76</v>
      </c>
      <c r="P117" s="2" t="s">
        <v>4</v>
      </c>
      <c r="Q117" s="2" t="s">
        <v>5</v>
      </c>
      <c r="R117" s="21">
        <f t="shared" si="9"/>
        <v>256000</v>
      </c>
      <c r="S117" s="21">
        <v>256000</v>
      </c>
      <c r="T117" s="5">
        <f t="shared" si="10"/>
        <v>15000</v>
      </c>
      <c r="V117">
        <f t="shared" si="11"/>
        <v>7</v>
      </c>
      <c r="W117">
        <f t="shared" si="12"/>
        <v>7</v>
      </c>
      <c r="X117" s="5">
        <f t="shared" si="13"/>
        <v>0</v>
      </c>
      <c r="Y117" s="2" t="s">
        <v>6</v>
      </c>
      <c r="Z117" s="2" t="s">
        <v>2</v>
      </c>
      <c r="AA117">
        <v>743</v>
      </c>
      <c r="AC117">
        <f t="shared" si="14"/>
        <v>2024</v>
      </c>
      <c r="AD117">
        <f t="shared" si="15"/>
        <v>2024</v>
      </c>
      <c r="AE117">
        <f t="shared" si="16"/>
        <v>2024</v>
      </c>
      <c r="AF117">
        <f t="shared" si="17"/>
        <v>7</v>
      </c>
    </row>
    <row r="118" spans="1:32" x14ac:dyDescent="0.25">
      <c r="A118" s="20">
        <v>45497</v>
      </c>
      <c r="B118" s="2">
        <v>1104</v>
      </c>
      <c r="C118" s="19" t="s">
        <v>245</v>
      </c>
      <c r="D118" s="19" t="s">
        <v>2</v>
      </c>
      <c r="E118" s="19" t="s">
        <v>2</v>
      </c>
      <c r="F118" s="19" t="s">
        <v>212</v>
      </c>
      <c r="G118" s="19" t="s">
        <v>108</v>
      </c>
      <c r="H118" s="19" t="s">
        <v>213</v>
      </c>
      <c r="I118" s="19" t="s">
        <v>496</v>
      </c>
      <c r="J118" s="2" t="s">
        <v>2</v>
      </c>
      <c r="K118" s="20">
        <v>45497</v>
      </c>
      <c r="L118" s="20"/>
      <c r="M118" s="22">
        <v>108</v>
      </c>
      <c r="N118" s="21">
        <v>103750</v>
      </c>
      <c r="O118" s="2" t="s">
        <v>3</v>
      </c>
      <c r="P118" s="2" t="s">
        <v>129</v>
      </c>
      <c r="Q118" s="2" t="s">
        <v>98</v>
      </c>
      <c r="R118" s="21">
        <f t="shared" si="9"/>
        <v>0</v>
      </c>
      <c r="S118" s="21">
        <v>0</v>
      </c>
      <c r="T118" s="5">
        <f t="shared" si="10"/>
        <v>15000</v>
      </c>
      <c r="V118">
        <f t="shared" si="11"/>
        <v>7</v>
      </c>
      <c r="W118">
        <f t="shared" si="12"/>
        <v>7</v>
      </c>
      <c r="X118" s="5">
        <f t="shared" si="13"/>
        <v>0</v>
      </c>
      <c r="Y118" s="2" t="s">
        <v>6</v>
      </c>
      <c r="Z118" s="2" t="s">
        <v>2</v>
      </c>
      <c r="AC118">
        <f t="shared" si="14"/>
        <v>2024</v>
      </c>
      <c r="AD118">
        <f t="shared" si="15"/>
        <v>2024</v>
      </c>
      <c r="AE118" t="str">
        <f t="shared" si="16"/>
        <v/>
      </c>
      <c r="AF118" t="str">
        <f t="shared" si="17"/>
        <v/>
      </c>
    </row>
    <row r="119" spans="1:32" x14ac:dyDescent="0.25">
      <c r="A119" s="20">
        <v>45499</v>
      </c>
      <c r="B119" s="2">
        <v>1105</v>
      </c>
      <c r="C119" s="19" t="s">
        <v>497</v>
      </c>
      <c r="D119" s="19" t="s">
        <v>2</v>
      </c>
      <c r="E119" s="19" t="s">
        <v>2</v>
      </c>
      <c r="F119" s="19" t="s">
        <v>498</v>
      </c>
      <c r="G119" s="19" t="s">
        <v>499</v>
      </c>
      <c r="H119" s="19" t="s">
        <v>500</v>
      </c>
      <c r="I119" s="19" t="s">
        <v>501</v>
      </c>
      <c r="J119" s="2" t="s">
        <v>2</v>
      </c>
      <c r="K119" s="20">
        <v>45502</v>
      </c>
      <c r="L119" s="20">
        <v>45502</v>
      </c>
      <c r="M119" s="22">
        <v>90</v>
      </c>
      <c r="N119" s="21">
        <v>87350</v>
      </c>
      <c r="O119" s="2" t="s">
        <v>76</v>
      </c>
      <c r="P119" s="2" t="s">
        <v>4</v>
      </c>
      <c r="Q119" s="2" t="s">
        <v>5</v>
      </c>
      <c r="R119" s="21">
        <f t="shared" si="9"/>
        <v>87350</v>
      </c>
      <c r="S119" s="21">
        <v>87350</v>
      </c>
      <c r="T119" s="5">
        <f t="shared" si="10"/>
        <v>15000</v>
      </c>
      <c r="V119">
        <f t="shared" si="11"/>
        <v>7</v>
      </c>
      <c r="W119">
        <f t="shared" si="12"/>
        <v>7</v>
      </c>
      <c r="X119" s="5">
        <f t="shared" si="13"/>
        <v>0</v>
      </c>
      <c r="Y119" s="2" t="s">
        <v>6</v>
      </c>
      <c r="Z119" s="2" t="s">
        <v>2</v>
      </c>
      <c r="AA119">
        <v>741</v>
      </c>
      <c r="AC119">
        <f t="shared" si="14"/>
        <v>2024</v>
      </c>
      <c r="AD119">
        <f t="shared" si="15"/>
        <v>2024</v>
      </c>
      <c r="AE119">
        <f t="shared" si="16"/>
        <v>2024</v>
      </c>
      <c r="AF119">
        <f t="shared" si="17"/>
        <v>7</v>
      </c>
    </row>
    <row r="120" spans="1:32" x14ac:dyDescent="0.25">
      <c r="A120" s="20">
        <v>45502</v>
      </c>
      <c r="B120" s="2">
        <v>1106</v>
      </c>
      <c r="C120" s="19" t="s">
        <v>148</v>
      </c>
      <c r="D120" s="19" t="s">
        <v>2</v>
      </c>
      <c r="E120" s="19" t="s">
        <v>2</v>
      </c>
      <c r="F120" s="19" t="s">
        <v>502</v>
      </c>
      <c r="G120" s="19" t="s">
        <v>503</v>
      </c>
      <c r="H120" s="19" t="s">
        <v>504</v>
      </c>
      <c r="I120" s="19" t="s">
        <v>505</v>
      </c>
      <c r="J120" s="2" t="s">
        <v>2</v>
      </c>
      <c r="K120" s="20">
        <v>45502</v>
      </c>
      <c r="L120" s="20">
        <v>45502</v>
      </c>
      <c r="M120" s="22">
        <v>310</v>
      </c>
      <c r="N120" s="21">
        <v>300000</v>
      </c>
      <c r="O120" s="2" t="s">
        <v>76</v>
      </c>
      <c r="P120" s="2" t="s">
        <v>4</v>
      </c>
      <c r="Q120" s="2" t="s">
        <v>5</v>
      </c>
      <c r="R120" s="21">
        <f t="shared" si="9"/>
        <v>300000</v>
      </c>
      <c r="S120" s="21">
        <v>300000</v>
      </c>
      <c r="T120" s="5">
        <f t="shared" si="10"/>
        <v>15000</v>
      </c>
      <c r="V120">
        <f t="shared" si="11"/>
        <v>7</v>
      </c>
      <c r="W120">
        <f t="shared" si="12"/>
        <v>7</v>
      </c>
      <c r="X120" s="5">
        <f t="shared" si="13"/>
        <v>0</v>
      </c>
      <c r="Y120" s="2" t="s">
        <v>6</v>
      </c>
      <c r="Z120" s="2" t="s">
        <v>2</v>
      </c>
      <c r="AA120">
        <v>740</v>
      </c>
      <c r="AC120">
        <f t="shared" si="14"/>
        <v>2024</v>
      </c>
      <c r="AD120">
        <f t="shared" si="15"/>
        <v>2024</v>
      </c>
      <c r="AE120">
        <f t="shared" si="16"/>
        <v>2024</v>
      </c>
      <c r="AF120">
        <f t="shared" si="17"/>
        <v>7</v>
      </c>
    </row>
    <row r="121" spans="1:32" x14ac:dyDescent="0.25">
      <c r="A121" s="20">
        <v>45502</v>
      </c>
      <c r="B121" s="2">
        <v>1107</v>
      </c>
      <c r="C121" s="19" t="s">
        <v>162</v>
      </c>
      <c r="D121" s="19" t="s">
        <v>2</v>
      </c>
      <c r="E121" s="19" t="s">
        <v>2</v>
      </c>
      <c r="F121" s="19" t="s">
        <v>506</v>
      </c>
      <c r="G121" s="19" t="s">
        <v>507</v>
      </c>
      <c r="H121" s="19" t="s">
        <v>508</v>
      </c>
      <c r="I121" s="19" t="s">
        <v>509</v>
      </c>
      <c r="J121" s="2" t="s">
        <v>510</v>
      </c>
      <c r="K121" s="20">
        <v>45502</v>
      </c>
      <c r="L121" s="20">
        <v>45502</v>
      </c>
      <c r="M121" s="22">
        <v>100</v>
      </c>
      <c r="N121" s="21">
        <v>97000</v>
      </c>
      <c r="O121" s="2" t="s">
        <v>76</v>
      </c>
      <c r="P121" s="2" t="s">
        <v>4</v>
      </c>
      <c r="Q121" s="2" t="s">
        <v>5</v>
      </c>
      <c r="R121" s="21">
        <f t="shared" si="9"/>
        <v>97000</v>
      </c>
      <c r="S121" s="21">
        <v>97000</v>
      </c>
      <c r="T121" s="5">
        <f t="shared" si="10"/>
        <v>15000</v>
      </c>
      <c r="V121">
        <f t="shared" si="11"/>
        <v>7</v>
      </c>
      <c r="W121">
        <f t="shared" si="12"/>
        <v>7</v>
      </c>
      <c r="X121" s="5">
        <f t="shared" si="13"/>
        <v>0</v>
      </c>
      <c r="Y121" s="2" t="s">
        <v>6</v>
      </c>
      <c r="Z121" s="2" t="s">
        <v>2</v>
      </c>
      <c r="AA121">
        <v>744</v>
      </c>
      <c r="AC121">
        <f t="shared" si="14"/>
        <v>2024</v>
      </c>
      <c r="AD121">
        <f t="shared" si="15"/>
        <v>2024</v>
      </c>
      <c r="AE121">
        <f t="shared" si="16"/>
        <v>2024</v>
      </c>
      <c r="AF121">
        <f t="shared" si="17"/>
        <v>7</v>
      </c>
    </row>
    <row r="122" spans="1:32" x14ac:dyDescent="0.25">
      <c r="A122" s="20">
        <v>45502</v>
      </c>
      <c r="B122" s="2">
        <v>1108</v>
      </c>
      <c r="C122" s="19" t="s">
        <v>0</v>
      </c>
      <c r="D122" s="19" t="s">
        <v>112</v>
      </c>
      <c r="E122" s="19" t="s">
        <v>511</v>
      </c>
      <c r="F122" s="19" t="s">
        <v>512</v>
      </c>
      <c r="G122" s="19" t="s">
        <v>513</v>
      </c>
      <c r="H122" s="19" t="s">
        <v>514</v>
      </c>
      <c r="I122" s="19" t="s">
        <v>515</v>
      </c>
      <c r="J122" s="2" t="s">
        <v>516</v>
      </c>
      <c r="K122" s="20">
        <v>45530</v>
      </c>
      <c r="L122" s="20">
        <v>45518</v>
      </c>
      <c r="M122" s="22">
        <v>208</v>
      </c>
      <c r="N122" s="21">
        <v>290500</v>
      </c>
      <c r="O122" s="2" t="s">
        <v>76</v>
      </c>
      <c r="P122" s="2" t="s">
        <v>4</v>
      </c>
      <c r="Q122" s="2" t="s">
        <v>5</v>
      </c>
      <c r="R122" s="21">
        <f t="shared" si="9"/>
        <v>290500</v>
      </c>
      <c r="S122" s="21">
        <v>290500</v>
      </c>
      <c r="T122" s="5">
        <f t="shared" si="10"/>
        <v>15000</v>
      </c>
      <c r="V122">
        <f t="shared" si="11"/>
        <v>8</v>
      </c>
      <c r="W122">
        <f t="shared" si="12"/>
        <v>7</v>
      </c>
      <c r="X122" s="5">
        <f t="shared" si="13"/>
        <v>0</v>
      </c>
      <c r="Y122" s="2" t="s">
        <v>6</v>
      </c>
      <c r="Z122" s="2" t="s">
        <v>2</v>
      </c>
      <c r="AC122">
        <f t="shared" si="14"/>
        <v>2024</v>
      </c>
      <c r="AD122">
        <f t="shared" si="15"/>
        <v>2024</v>
      </c>
      <c r="AE122">
        <f t="shared" si="16"/>
        <v>2024</v>
      </c>
      <c r="AF122">
        <f t="shared" si="17"/>
        <v>8</v>
      </c>
    </row>
    <row r="123" spans="1:32" x14ac:dyDescent="0.25">
      <c r="A123" s="20">
        <v>45502</v>
      </c>
      <c r="B123" s="2">
        <v>1109</v>
      </c>
      <c r="C123" s="19" t="s">
        <v>0</v>
      </c>
      <c r="D123" s="19" t="s">
        <v>112</v>
      </c>
      <c r="E123" s="19" t="s">
        <v>511</v>
      </c>
      <c r="F123" s="19" t="s">
        <v>517</v>
      </c>
      <c r="G123" s="19" t="s">
        <v>513</v>
      </c>
      <c r="H123" s="19" t="s">
        <v>518</v>
      </c>
      <c r="I123" s="19" t="s">
        <v>519</v>
      </c>
      <c r="J123" s="2" t="s">
        <v>520</v>
      </c>
      <c r="K123" s="20">
        <v>45530</v>
      </c>
      <c r="L123" s="20">
        <v>45518</v>
      </c>
      <c r="M123" s="22">
        <v>42</v>
      </c>
      <c r="N123" s="21">
        <v>58100</v>
      </c>
      <c r="O123" s="2" t="s">
        <v>76</v>
      </c>
      <c r="P123" s="2" t="s">
        <v>4</v>
      </c>
      <c r="Q123" s="2" t="s">
        <v>5</v>
      </c>
      <c r="R123" s="21">
        <f t="shared" si="9"/>
        <v>58100</v>
      </c>
      <c r="S123" s="21">
        <v>58100</v>
      </c>
      <c r="T123" s="5">
        <f t="shared" si="10"/>
        <v>15000</v>
      </c>
      <c r="V123">
        <f t="shared" si="11"/>
        <v>8</v>
      </c>
      <c r="W123">
        <f t="shared" si="12"/>
        <v>7</v>
      </c>
      <c r="X123" s="5">
        <f t="shared" si="13"/>
        <v>0</v>
      </c>
      <c r="Y123" s="2" t="s">
        <v>6</v>
      </c>
      <c r="Z123" s="2" t="s">
        <v>2</v>
      </c>
      <c r="AC123">
        <f t="shared" si="14"/>
        <v>2024</v>
      </c>
      <c r="AD123">
        <f t="shared" si="15"/>
        <v>2024</v>
      </c>
      <c r="AE123">
        <f t="shared" si="16"/>
        <v>2024</v>
      </c>
      <c r="AF123">
        <f t="shared" si="17"/>
        <v>8</v>
      </c>
    </row>
    <row r="124" spans="1:32" x14ac:dyDescent="0.25">
      <c r="A124" s="20">
        <v>45502</v>
      </c>
      <c r="B124" s="2">
        <v>1110</v>
      </c>
      <c r="C124" s="19" t="s">
        <v>0</v>
      </c>
      <c r="D124" s="19" t="s">
        <v>112</v>
      </c>
      <c r="E124" s="19" t="s">
        <v>511</v>
      </c>
      <c r="F124" s="19" t="s">
        <v>521</v>
      </c>
      <c r="G124" s="19" t="s">
        <v>513</v>
      </c>
      <c r="H124" s="19" t="s">
        <v>522</v>
      </c>
      <c r="I124" s="19" t="s">
        <v>523</v>
      </c>
      <c r="J124" s="2" t="s">
        <v>524</v>
      </c>
      <c r="K124" s="20">
        <v>45530</v>
      </c>
      <c r="L124" s="20">
        <v>45518</v>
      </c>
      <c r="M124" s="22">
        <v>332</v>
      </c>
      <c r="N124" s="21">
        <v>464800</v>
      </c>
      <c r="O124" s="2" t="s">
        <v>76</v>
      </c>
      <c r="P124" s="2" t="s">
        <v>4</v>
      </c>
      <c r="Q124" s="2" t="s">
        <v>5</v>
      </c>
      <c r="R124" s="21">
        <f t="shared" si="9"/>
        <v>464800</v>
      </c>
      <c r="S124" s="21">
        <v>464800</v>
      </c>
      <c r="T124" s="5">
        <f t="shared" si="10"/>
        <v>15000</v>
      </c>
      <c r="V124">
        <f t="shared" si="11"/>
        <v>8</v>
      </c>
      <c r="W124">
        <f t="shared" si="12"/>
        <v>7</v>
      </c>
      <c r="X124" s="5">
        <f t="shared" si="13"/>
        <v>0</v>
      </c>
      <c r="Y124" s="2" t="s">
        <v>6</v>
      </c>
      <c r="Z124" s="2" t="s">
        <v>2</v>
      </c>
      <c r="AC124">
        <f t="shared" si="14"/>
        <v>2024</v>
      </c>
      <c r="AD124">
        <f t="shared" si="15"/>
        <v>2024</v>
      </c>
      <c r="AE124">
        <f t="shared" si="16"/>
        <v>2024</v>
      </c>
      <c r="AF124">
        <f t="shared" si="17"/>
        <v>8</v>
      </c>
    </row>
    <row r="125" spans="1:32" x14ac:dyDescent="0.25">
      <c r="A125" s="20">
        <v>45504</v>
      </c>
      <c r="B125" s="2">
        <v>1111</v>
      </c>
      <c r="C125" s="19" t="s">
        <v>525</v>
      </c>
      <c r="D125" s="19" t="s">
        <v>2</v>
      </c>
      <c r="E125" s="19" t="s">
        <v>2</v>
      </c>
      <c r="F125" s="19" t="s">
        <v>526</v>
      </c>
      <c r="G125" s="19" t="s">
        <v>527</v>
      </c>
      <c r="H125" s="19" t="s">
        <v>528</v>
      </c>
      <c r="I125" s="19" t="s">
        <v>529</v>
      </c>
      <c r="J125" s="2" t="s">
        <v>2</v>
      </c>
      <c r="K125" s="20">
        <v>45524</v>
      </c>
      <c r="L125" s="20">
        <v>45509</v>
      </c>
      <c r="M125" s="22">
        <v>330</v>
      </c>
      <c r="N125" s="21">
        <v>319400</v>
      </c>
      <c r="O125" s="2" t="s">
        <v>76</v>
      </c>
      <c r="P125" s="2" t="s">
        <v>4</v>
      </c>
      <c r="Q125" s="2" t="s">
        <v>5</v>
      </c>
      <c r="R125" s="21">
        <f t="shared" si="9"/>
        <v>319400</v>
      </c>
      <c r="S125" s="21">
        <v>319400</v>
      </c>
      <c r="T125" s="5">
        <f t="shared" si="10"/>
        <v>15000</v>
      </c>
      <c r="V125">
        <f t="shared" si="11"/>
        <v>8</v>
      </c>
      <c r="W125">
        <f t="shared" si="12"/>
        <v>7</v>
      </c>
      <c r="X125" s="5">
        <f t="shared" si="13"/>
        <v>0</v>
      </c>
      <c r="Y125" s="2" t="s">
        <v>6</v>
      </c>
      <c r="Z125" s="2" t="s">
        <v>2</v>
      </c>
      <c r="AA125">
        <v>748</v>
      </c>
      <c r="AC125">
        <f t="shared" si="14"/>
        <v>2024</v>
      </c>
      <c r="AD125">
        <f t="shared" si="15"/>
        <v>2024</v>
      </c>
      <c r="AE125">
        <f t="shared" si="16"/>
        <v>2024</v>
      </c>
      <c r="AF125">
        <f t="shared" si="17"/>
        <v>8</v>
      </c>
    </row>
    <row r="126" spans="1:32" x14ac:dyDescent="0.25">
      <c r="A126" s="20">
        <v>45504</v>
      </c>
      <c r="B126" s="2">
        <v>1112</v>
      </c>
      <c r="C126" s="19" t="s">
        <v>530</v>
      </c>
      <c r="D126" s="19" t="s">
        <v>2</v>
      </c>
      <c r="E126" s="19" t="s">
        <v>2</v>
      </c>
      <c r="F126" s="19" t="s">
        <v>526</v>
      </c>
      <c r="G126" s="19" t="s">
        <v>527</v>
      </c>
      <c r="H126" s="19" t="s">
        <v>528</v>
      </c>
      <c r="I126" s="19" t="s">
        <v>531</v>
      </c>
      <c r="J126" s="2" t="s">
        <v>2</v>
      </c>
      <c r="K126" s="20">
        <v>45516</v>
      </c>
      <c r="L126" s="20">
        <v>45510</v>
      </c>
      <c r="M126" s="22">
        <v>306</v>
      </c>
      <c r="N126" s="21">
        <v>297350</v>
      </c>
      <c r="O126" s="2" t="s">
        <v>76</v>
      </c>
      <c r="P126" s="2" t="s">
        <v>4</v>
      </c>
      <c r="Q126" s="2" t="s">
        <v>5</v>
      </c>
      <c r="R126" s="21">
        <f t="shared" si="9"/>
        <v>297350</v>
      </c>
      <c r="S126" s="21">
        <v>297350</v>
      </c>
      <c r="T126" s="5">
        <f t="shared" si="10"/>
        <v>15000</v>
      </c>
      <c r="V126">
        <f t="shared" si="11"/>
        <v>8</v>
      </c>
      <c r="W126">
        <f t="shared" si="12"/>
        <v>7</v>
      </c>
      <c r="X126" s="5">
        <f t="shared" si="13"/>
        <v>0</v>
      </c>
      <c r="Y126" s="2" t="s">
        <v>6</v>
      </c>
      <c r="Z126" s="2" t="s">
        <v>2</v>
      </c>
      <c r="AA126">
        <v>747</v>
      </c>
      <c r="AC126">
        <f t="shared" si="14"/>
        <v>2024</v>
      </c>
      <c r="AD126">
        <f t="shared" si="15"/>
        <v>2024</v>
      </c>
      <c r="AE126">
        <f t="shared" si="16"/>
        <v>2024</v>
      </c>
      <c r="AF126">
        <f t="shared" si="17"/>
        <v>8</v>
      </c>
    </row>
    <row r="127" spans="1:32" x14ac:dyDescent="0.25">
      <c r="A127" s="20">
        <v>45507</v>
      </c>
      <c r="B127" s="2">
        <v>1113</v>
      </c>
      <c r="C127" s="19" t="s">
        <v>532</v>
      </c>
      <c r="D127" s="19" t="s">
        <v>2</v>
      </c>
      <c r="E127" s="19" t="s">
        <v>2</v>
      </c>
      <c r="F127" s="19" t="s">
        <v>533</v>
      </c>
      <c r="G127" s="19" t="s">
        <v>534</v>
      </c>
      <c r="H127" s="19" t="s">
        <v>535</v>
      </c>
      <c r="I127" s="19" t="s">
        <v>536</v>
      </c>
      <c r="J127" s="2" t="s">
        <v>2</v>
      </c>
      <c r="K127" s="20">
        <v>45518</v>
      </c>
      <c r="L127" s="20">
        <v>45508</v>
      </c>
      <c r="M127" s="22">
        <v>370</v>
      </c>
      <c r="N127" s="21">
        <v>358900</v>
      </c>
      <c r="O127" s="2" t="s">
        <v>76</v>
      </c>
      <c r="P127" s="2" t="s">
        <v>4</v>
      </c>
      <c r="Q127" s="2" t="s">
        <v>5</v>
      </c>
      <c r="R127" s="21">
        <f t="shared" si="9"/>
        <v>358900</v>
      </c>
      <c r="S127" s="21">
        <v>358900</v>
      </c>
      <c r="T127" s="5">
        <f t="shared" si="10"/>
        <v>15000</v>
      </c>
      <c r="V127">
        <f t="shared" si="11"/>
        <v>8</v>
      </c>
      <c r="W127">
        <f t="shared" si="12"/>
        <v>8</v>
      </c>
      <c r="X127" s="5">
        <f t="shared" si="13"/>
        <v>0</v>
      </c>
      <c r="Y127" s="2" t="s">
        <v>6</v>
      </c>
      <c r="Z127" s="2" t="s">
        <v>2</v>
      </c>
      <c r="AC127">
        <f t="shared" si="14"/>
        <v>2024</v>
      </c>
      <c r="AD127">
        <f t="shared" si="15"/>
        <v>2024</v>
      </c>
      <c r="AE127">
        <f t="shared" si="16"/>
        <v>2024</v>
      </c>
      <c r="AF127">
        <f t="shared" si="17"/>
        <v>8</v>
      </c>
    </row>
    <row r="128" spans="1:32" x14ac:dyDescent="0.25">
      <c r="A128" s="59">
        <v>45510</v>
      </c>
      <c r="B128" s="2">
        <v>1114</v>
      </c>
      <c r="C128" s="19" t="s">
        <v>538</v>
      </c>
      <c r="D128" s="19" t="s">
        <v>2</v>
      </c>
      <c r="E128" s="19" t="s">
        <v>2</v>
      </c>
      <c r="F128" s="19" t="s">
        <v>400</v>
      </c>
      <c r="G128" s="19" t="s">
        <v>352</v>
      </c>
      <c r="H128" s="19" t="s">
        <v>432</v>
      </c>
      <c r="I128" s="19" t="s">
        <v>539</v>
      </c>
      <c r="J128" s="2" t="s">
        <v>2</v>
      </c>
      <c r="K128" s="20">
        <v>45510</v>
      </c>
      <c r="L128" s="20">
        <v>45511</v>
      </c>
      <c r="M128" s="22">
        <v>143</v>
      </c>
      <c r="N128" s="21">
        <v>139500</v>
      </c>
      <c r="O128" s="2" t="s">
        <v>76</v>
      </c>
      <c r="P128" s="2" t="s">
        <v>4</v>
      </c>
      <c r="Q128" s="2" t="s">
        <v>5</v>
      </c>
      <c r="R128" s="21">
        <f t="shared" si="9"/>
        <v>139500</v>
      </c>
      <c r="S128" s="21">
        <v>139500</v>
      </c>
      <c r="T128" s="5">
        <f t="shared" si="10"/>
        <v>15000</v>
      </c>
      <c r="V128">
        <f t="shared" si="11"/>
        <v>8</v>
      </c>
      <c r="W128">
        <f t="shared" si="12"/>
        <v>8</v>
      </c>
      <c r="X128" s="5">
        <f t="shared" si="13"/>
        <v>0</v>
      </c>
      <c r="Y128" s="2" t="s">
        <v>6</v>
      </c>
      <c r="Z128" s="2" t="s">
        <v>2</v>
      </c>
      <c r="AA128">
        <v>745</v>
      </c>
      <c r="AC128">
        <f t="shared" si="14"/>
        <v>2024</v>
      </c>
      <c r="AD128">
        <f t="shared" si="15"/>
        <v>2024</v>
      </c>
      <c r="AE128">
        <f t="shared" si="16"/>
        <v>2024</v>
      </c>
      <c r="AF128">
        <f t="shared" si="17"/>
        <v>8</v>
      </c>
    </row>
    <row r="129" spans="1:32" x14ac:dyDescent="0.25">
      <c r="A129" s="59">
        <v>45517.125</v>
      </c>
      <c r="B129" s="2">
        <v>1115</v>
      </c>
      <c r="C129" s="19" t="s">
        <v>0</v>
      </c>
      <c r="D129" s="19" t="s">
        <v>112</v>
      </c>
      <c r="E129" s="19" t="s">
        <v>2</v>
      </c>
      <c r="F129" s="19" t="s">
        <v>540</v>
      </c>
      <c r="G129" s="19" t="s">
        <v>541</v>
      </c>
      <c r="H129" s="19" t="s">
        <v>542</v>
      </c>
      <c r="I129" s="19" t="s">
        <v>543</v>
      </c>
      <c r="J129" s="2" t="s">
        <v>544</v>
      </c>
      <c r="K129" s="20">
        <v>45544.125</v>
      </c>
      <c r="L129" s="20">
        <v>45551.125</v>
      </c>
      <c r="M129" s="22">
        <v>294</v>
      </c>
      <c r="N129" s="21">
        <v>353995</v>
      </c>
      <c r="O129" s="2" t="s">
        <v>76</v>
      </c>
      <c r="P129" s="2" t="s">
        <v>4</v>
      </c>
      <c r="Q129" s="2" t="s">
        <v>5</v>
      </c>
      <c r="R129" s="21">
        <f t="shared" si="9"/>
        <v>353995</v>
      </c>
      <c r="S129" s="21">
        <v>353995</v>
      </c>
      <c r="T129" s="5">
        <f t="shared" si="10"/>
        <v>15000</v>
      </c>
      <c r="V129">
        <f t="shared" si="11"/>
        <v>9</v>
      </c>
      <c r="W129">
        <f t="shared" si="12"/>
        <v>8</v>
      </c>
      <c r="X129" s="5">
        <f t="shared" si="13"/>
        <v>0</v>
      </c>
      <c r="Y129" s="2" t="s">
        <v>6</v>
      </c>
      <c r="Z129" s="2" t="s">
        <v>2</v>
      </c>
      <c r="AC129">
        <f t="shared" si="14"/>
        <v>2024</v>
      </c>
      <c r="AD129">
        <f t="shared" si="15"/>
        <v>2024</v>
      </c>
      <c r="AE129">
        <f t="shared" si="16"/>
        <v>2024</v>
      </c>
      <c r="AF129">
        <f t="shared" si="17"/>
        <v>9</v>
      </c>
    </row>
    <row r="130" spans="1:32" x14ac:dyDescent="0.25">
      <c r="A130" s="59">
        <v>45519</v>
      </c>
      <c r="B130" s="2">
        <v>1116</v>
      </c>
      <c r="C130" s="19" t="s">
        <v>82</v>
      </c>
      <c r="D130" s="19" t="s">
        <v>2</v>
      </c>
      <c r="E130" s="19" t="s">
        <v>2</v>
      </c>
      <c r="F130" s="19" t="s">
        <v>107</v>
      </c>
      <c r="G130" s="19" t="s">
        <v>458</v>
      </c>
      <c r="H130" s="19" t="s">
        <v>545</v>
      </c>
      <c r="I130" s="19" t="s">
        <v>546</v>
      </c>
      <c r="J130" s="2" t="s">
        <v>2</v>
      </c>
      <c r="K130" s="20">
        <v>45519</v>
      </c>
      <c r="L130" s="20">
        <v>45519</v>
      </c>
      <c r="M130" s="22">
        <v>400</v>
      </c>
      <c r="N130" s="21">
        <v>388000</v>
      </c>
      <c r="O130" s="2" t="s">
        <v>76</v>
      </c>
      <c r="P130" s="2" t="s">
        <v>4</v>
      </c>
      <c r="Q130" s="2" t="s">
        <v>5</v>
      </c>
      <c r="R130" s="21">
        <f t="shared" ref="R130:R193" si="18">IF(Q130="Aceptado",N130,0)</f>
        <v>388000</v>
      </c>
      <c r="S130" s="21">
        <v>388000</v>
      </c>
      <c r="T130" s="5">
        <f t="shared" ref="T130:T193" si="19">IFERROR(+T129+R130-S130,0)</f>
        <v>15000</v>
      </c>
      <c r="V130">
        <f t="shared" ref="V130:V193" si="20">IF(NOT(ISBLANK(K130)),MONTH(K130),"")</f>
        <v>8</v>
      </c>
      <c r="W130">
        <f t="shared" ref="W130:W193" si="21">IF(NOT(ISBLANK(A130)),MONTH(A130),"")</f>
        <v>8</v>
      </c>
      <c r="X130" s="5">
        <f t="shared" ref="X130:X193" si="22">IFERROR(+S130-R130,0)</f>
        <v>0</v>
      </c>
      <c r="Y130" s="2" t="s">
        <v>6</v>
      </c>
      <c r="Z130" s="2" t="s">
        <v>2</v>
      </c>
      <c r="AA130">
        <v>746</v>
      </c>
      <c r="AC130">
        <f t="shared" ref="AC130:AC193" si="23">IF(NOT(ISBLANK(K130)),YEAR(K130),"")</f>
        <v>2024</v>
      </c>
      <c r="AD130">
        <f t="shared" ref="AD130:AD193" si="24">IF(NOT(ISBLANK(A130)),YEAR(A130),"")</f>
        <v>2024</v>
      </c>
      <c r="AE130">
        <f t="shared" ref="AE130:AE193" si="25">IF(NOT(ISBLANK(L130)),YEAR(L130),"")</f>
        <v>2024</v>
      </c>
      <c r="AF130">
        <f t="shared" ref="AF130:AF193" si="26">IF(NOT(ISBLANK(L130)),MONTH(L130),"")</f>
        <v>8</v>
      </c>
    </row>
    <row r="131" spans="1:32" x14ac:dyDescent="0.25">
      <c r="A131" s="59">
        <v>45523</v>
      </c>
      <c r="B131" s="2">
        <v>1117</v>
      </c>
      <c r="C131" s="19" t="s">
        <v>99</v>
      </c>
      <c r="D131" s="19" t="s">
        <v>2</v>
      </c>
      <c r="E131" s="19" t="s">
        <v>2</v>
      </c>
      <c r="F131" s="19" t="s">
        <v>547</v>
      </c>
      <c r="G131" s="19" t="s">
        <v>548</v>
      </c>
      <c r="H131" s="19" t="s">
        <v>549</v>
      </c>
      <c r="I131" s="19" t="s">
        <v>550</v>
      </c>
      <c r="J131" s="2" t="s">
        <v>2</v>
      </c>
      <c r="K131" s="20">
        <v>45530</v>
      </c>
      <c r="L131" s="20">
        <v>45530</v>
      </c>
      <c r="M131" s="22">
        <v>420</v>
      </c>
      <c r="N131" s="21">
        <v>411600</v>
      </c>
      <c r="O131" s="2" t="s">
        <v>76</v>
      </c>
      <c r="P131" s="2" t="s">
        <v>4</v>
      </c>
      <c r="Q131" s="2" t="s">
        <v>5</v>
      </c>
      <c r="R131" s="21">
        <f t="shared" si="18"/>
        <v>411600</v>
      </c>
      <c r="S131" s="21">
        <v>411600</v>
      </c>
      <c r="T131" s="5">
        <f t="shared" si="19"/>
        <v>15000</v>
      </c>
      <c r="V131">
        <f t="shared" si="20"/>
        <v>8</v>
      </c>
      <c r="W131">
        <f t="shared" si="21"/>
        <v>8</v>
      </c>
      <c r="X131" s="5">
        <f t="shared" si="22"/>
        <v>0</v>
      </c>
      <c r="Y131" s="2" t="s">
        <v>6</v>
      </c>
      <c r="Z131" s="2" t="s">
        <v>2</v>
      </c>
      <c r="AA131">
        <v>749</v>
      </c>
      <c r="AC131">
        <f t="shared" si="23"/>
        <v>2024</v>
      </c>
      <c r="AD131">
        <f t="shared" si="24"/>
        <v>2024</v>
      </c>
      <c r="AE131">
        <f t="shared" si="25"/>
        <v>2024</v>
      </c>
      <c r="AF131">
        <f t="shared" si="26"/>
        <v>8</v>
      </c>
    </row>
    <row r="132" spans="1:32" x14ac:dyDescent="0.25">
      <c r="A132" s="59">
        <v>45525</v>
      </c>
      <c r="B132" s="2">
        <v>1118</v>
      </c>
      <c r="C132" s="19" t="s">
        <v>551</v>
      </c>
      <c r="D132" s="19" t="s">
        <v>2</v>
      </c>
      <c r="E132" s="19" t="s">
        <v>2</v>
      </c>
      <c r="F132" s="19" t="s">
        <v>450</v>
      </c>
      <c r="G132" s="19" t="s">
        <v>552</v>
      </c>
      <c r="H132" s="19" t="s">
        <v>553</v>
      </c>
      <c r="I132" s="19" t="s">
        <v>554</v>
      </c>
      <c r="J132" s="2" t="s">
        <v>2</v>
      </c>
      <c r="K132" s="20">
        <v>45537</v>
      </c>
      <c r="L132" s="20">
        <v>45530</v>
      </c>
      <c r="M132" s="22">
        <v>89</v>
      </c>
      <c r="N132" s="21">
        <v>87500</v>
      </c>
      <c r="O132" s="2" t="s">
        <v>76</v>
      </c>
      <c r="P132" s="2" t="s">
        <v>4</v>
      </c>
      <c r="Q132" s="2" t="s">
        <v>5</v>
      </c>
      <c r="R132" s="21">
        <f t="shared" si="18"/>
        <v>87500</v>
      </c>
      <c r="S132" s="21">
        <v>87500</v>
      </c>
      <c r="T132" s="5">
        <f t="shared" si="19"/>
        <v>15000</v>
      </c>
      <c r="V132">
        <f t="shared" si="20"/>
        <v>9</v>
      </c>
      <c r="W132">
        <f t="shared" si="21"/>
        <v>8</v>
      </c>
      <c r="X132" s="5">
        <f t="shared" si="22"/>
        <v>0</v>
      </c>
      <c r="Y132" s="2" t="s">
        <v>6</v>
      </c>
      <c r="Z132" s="2" t="s">
        <v>2</v>
      </c>
      <c r="AC132">
        <f t="shared" si="23"/>
        <v>2024</v>
      </c>
      <c r="AD132">
        <f t="shared" si="24"/>
        <v>2024</v>
      </c>
      <c r="AE132">
        <f t="shared" si="25"/>
        <v>2024</v>
      </c>
      <c r="AF132">
        <f t="shared" si="26"/>
        <v>8</v>
      </c>
    </row>
    <row r="133" spans="1:32" x14ac:dyDescent="0.25">
      <c r="A133" s="59">
        <v>45530</v>
      </c>
      <c r="B133" s="2">
        <v>1119</v>
      </c>
      <c r="C133" s="19" t="s">
        <v>0</v>
      </c>
      <c r="D133" s="19" t="s">
        <v>112</v>
      </c>
      <c r="E133" s="19" t="s">
        <v>2</v>
      </c>
      <c r="F133" s="19" t="s">
        <v>555</v>
      </c>
      <c r="G133" s="19" t="s">
        <v>556</v>
      </c>
      <c r="H133" s="19" t="s">
        <v>2</v>
      </c>
      <c r="I133" s="19" t="s">
        <v>557</v>
      </c>
      <c r="J133" s="2" t="s">
        <v>2</v>
      </c>
      <c r="K133" s="20">
        <v>45530</v>
      </c>
      <c r="L133" s="20">
        <v>45592</v>
      </c>
      <c r="M133" s="22">
        <v>310</v>
      </c>
      <c r="N133" s="21">
        <v>310000</v>
      </c>
      <c r="O133" s="2" t="s">
        <v>76</v>
      </c>
      <c r="P133" s="2" t="s">
        <v>558</v>
      </c>
      <c r="Q133" s="2" t="s">
        <v>5</v>
      </c>
      <c r="R133" s="21">
        <f t="shared" si="18"/>
        <v>310000</v>
      </c>
      <c r="S133" s="21">
        <v>310000</v>
      </c>
      <c r="T133" s="5">
        <f t="shared" si="19"/>
        <v>15000</v>
      </c>
      <c r="V133">
        <f t="shared" si="20"/>
        <v>8</v>
      </c>
      <c r="W133">
        <f t="shared" si="21"/>
        <v>8</v>
      </c>
      <c r="X133" s="5">
        <f t="shared" si="22"/>
        <v>0</v>
      </c>
      <c r="Y133" s="2" t="s">
        <v>6</v>
      </c>
      <c r="Z133" s="2" t="s">
        <v>2</v>
      </c>
      <c r="AC133">
        <f t="shared" si="23"/>
        <v>2024</v>
      </c>
      <c r="AD133">
        <f t="shared" si="24"/>
        <v>2024</v>
      </c>
      <c r="AE133">
        <f t="shared" si="25"/>
        <v>2024</v>
      </c>
      <c r="AF133">
        <f t="shared" si="26"/>
        <v>10</v>
      </c>
    </row>
    <row r="134" spans="1:32" x14ac:dyDescent="0.25">
      <c r="A134" s="59">
        <v>45530</v>
      </c>
      <c r="B134" s="2">
        <v>1120</v>
      </c>
      <c r="C134" s="19" t="s">
        <v>0</v>
      </c>
      <c r="D134" s="19" t="s">
        <v>112</v>
      </c>
      <c r="E134" s="19" t="s">
        <v>2</v>
      </c>
      <c r="F134" s="19" t="s">
        <v>559</v>
      </c>
      <c r="G134" s="19" t="s">
        <v>556</v>
      </c>
      <c r="H134" s="19" t="s">
        <v>2</v>
      </c>
      <c r="I134" s="19" t="s">
        <v>560</v>
      </c>
      <c r="J134" s="2" t="s">
        <v>2</v>
      </c>
      <c r="K134" s="20">
        <v>45530</v>
      </c>
      <c r="L134" s="20">
        <v>45593</v>
      </c>
      <c r="M134" s="22">
        <v>0</v>
      </c>
      <c r="N134" s="21">
        <v>0</v>
      </c>
      <c r="O134" s="2" t="s">
        <v>76</v>
      </c>
      <c r="P134" s="2" t="s">
        <v>558</v>
      </c>
      <c r="Q134" s="2" t="s">
        <v>5</v>
      </c>
      <c r="R134" s="21">
        <f t="shared" si="18"/>
        <v>0</v>
      </c>
      <c r="S134" s="21">
        <v>0</v>
      </c>
      <c r="T134" s="5">
        <f t="shared" si="19"/>
        <v>15000</v>
      </c>
      <c r="V134">
        <f t="shared" si="20"/>
        <v>8</v>
      </c>
      <c r="W134">
        <f t="shared" si="21"/>
        <v>8</v>
      </c>
      <c r="X134" s="5">
        <f t="shared" si="22"/>
        <v>0</v>
      </c>
      <c r="Y134" s="2" t="s">
        <v>6</v>
      </c>
      <c r="Z134" s="2" t="s">
        <v>2</v>
      </c>
      <c r="AC134">
        <f t="shared" si="23"/>
        <v>2024</v>
      </c>
      <c r="AD134">
        <f t="shared" si="24"/>
        <v>2024</v>
      </c>
      <c r="AE134">
        <f t="shared" si="25"/>
        <v>2024</v>
      </c>
      <c r="AF134">
        <f t="shared" si="26"/>
        <v>10</v>
      </c>
    </row>
    <row r="135" spans="1:32" x14ac:dyDescent="0.25">
      <c r="A135" s="59">
        <v>45532</v>
      </c>
      <c r="B135" s="2">
        <v>1121</v>
      </c>
      <c r="C135" s="19" t="s">
        <v>561</v>
      </c>
      <c r="D135" s="19" t="s">
        <v>2</v>
      </c>
      <c r="E135" s="19" t="s">
        <v>2</v>
      </c>
      <c r="F135" s="19" t="s">
        <v>562</v>
      </c>
      <c r="G135" s="19" t="s">
        <v>563</v>
      </c>
      <c r="H135" s="19" t="s">
        <v>564</v>
      </c>
      <c r="I135" s="19" t="s">
        <v>565</v>
      </c>
      <c r="J135" s="2" t="s">
        <v>2</v>
      </c>
      <c r="K135" s="20">
        <v>45538</v>
      </c>
      <c r="L135" s="20">
        <v>45538</v>
      </c>
      <c r="M135" s="22">
        <v>115</v>
      </c>
      <c r="N135" s="21">
        <v>113000</v>
      </c>
      <c r="O135" s="2" t="s">
        <v>76</v>
      </c>
      <c r="P135" s="2" t="s">
        <v>4</v>
      </c>
      <c r="Q135" s="2" t="s">
        <v>5</v>
      </c>
      <c r="R135" s="21">
        <f t="shared" si="18"/>
        <v>113000</v>
      </c>
      <c r="S135" s="21">
        <v>113000</v>
      </c>
      <c r="T135" s="5">
        <f t="shared" si="19"/>
        <v>15000</v>
      </c>
      <c r="V135">
        <f t="shared" si="20"/>
        <v>9</v>
      </c>
      <c r="W135">
        <f t="shared" si="21"/>
        <v>8</v>
      </c>
      <c r="X135" s="5">
        <f t="shared" si="22"/>
        <v>0</v>
      </c>
      <c r="Y135" s="2" t="s">
        <v>6</v>
      </c>
      <c r="Z135" s="2" t="s">
        <v>2</v>
      </c>
      <c r="AA135">
        <v>753</v>
      </c>
      <c r="AC135">
        <f t="shared" si="23"/>
        <v>2024</v>
      </c>
      <c r="AD135">
        <f t="shared" si="24"/>
        <v>2024</v>
      </c>
      <c r="AE135">
        <f t="shared" si="25"/>
        <v>2024</v>
      </c>
      <c r="AF135">
        <f t="shared" si="26"/>
        <v>9</v>
      </c>
    </row>
    <row r="136" spans="1:32" x14ac:dyDescent="0.25">
      <c r="A136" s="59">
        <v>45538</v>
      </c>
      <c r="B136" s="2">
        <v>1122</v>
      </c>
      <c r="C136" s="19" t="s">
        <v>566</v>
      </c>
      <c r="D136" s="19" t="s">
        <v>2</v>
      </c>
      <c r="E136" s="19" t="s">
        <v>2</v>
      </c>
      <c r="F136" s="19" t="s">
        <v>400</v>
      </c>
      <c r="G136" s="19" t="s">
        <v>95</v>
      </c>
      <c r="H136" s="19" t="s">
        <v>105</v>
      </c>
      <c r="I136" s="19" t="s">
        <v>567</v>
      </c>
      <c r="J136" s="2" t="s">
        <v>2</v>
      </c>
      <c r="K136" s="20">
        <v>45538</v>
      </c>
      <c r="L136" s="20">
        <v>45538</v>
      </c>
      <c r="M136" s="22">
        <v>160</v>
      </c>
      <c r="N136" s="21">
        <v>157500</v>
      </c>
      <c r="O136" s="2" t="s">
        <v>76</v>
      </c>
      <c r="P136" s="2" t="s">
        <v>4</v>
      </c>
      <c r="Q136" s="2" t="s">
        <v>5</v>
      </c>
      <c r="R136" s="21">
        <f t="shared" si="18"/>
        <v>157500</v>
      </c>
      <c r="S136" s="21">
        <v>157500</v>
      </c>
      <c r="T136" s="5">
        <f t="shared" si="19"/>
        <v>15000</v>
      </c>
      <c r="V136">
        <f t="shared" si="20"/>
        <v>9</v>
      </c>
      <c r="W136">
        <f t="shared" si="21"/>
        <v>9</v>
      </c>
      <c r="X136" s="5">
        <f t="shared" si="22"/>
        <v>0</v>
      </c>
      <c r="Y136" s="2" t="s">
        <v>6</v>
      </c>
      <c r="Z136" s="2" t="s">
        <v>2</v>
      </c>
      <c r="AA136">
        <v>750</v>
      </c>
      <c r="AC136">
        <f t="shared" si="23"/>
        <v>2024</v>
      </c>
      <c r="AD136">
        <f t="shared" si="24"/>
        <v>2024</v>
      </c>
      <c r="AE136">
        <f t="shared" si="25"/>
        <v>2024</v>
      </c>
      <c r="AF136">
        <f t="shared" si="26"/>
        <v>9</v>
      </c>
    </row>
    <row r="137" spans="1:32" x14ac:dyDescent="0.25">
      <c r="A137" s="59">
        <v>45538</v>
      </c>
      <c r="B137" s="2">
        <v>1123</v>
      </c>
      <c r="C137" s="19" t="s">
        <v>219</v>
      </c>
      <c r="D137" s="19" t="s">
        <v>2</v>
      </c>
      <c r="E137" s="19" t="s">
        <v>2</v>
      </c>
      <c r="F137" s="19" t="s">
        <v>568</v>
      </c>
      <c r="G137" s="19" t="s">
        <v>0</v>
      </c>
      <c r="H137" s="19" t="s">
        <v>569</v>
      </c>
      <c r="I137" s="19" t="s">
        <v>570</v>
      </c>
      <c r="J137" s="2" t="s">
        <v>2</v>
      </c>
      <c r="K137" s="20">
        <v>45539</v>
      </c>
      <c r="L137" s="20">
        <v>45539</v>
      </c>
      <c r="M137" s="22">
        <v>31</v>
      </c>
      <c r="N137" s="21">
        <v>30596</v>
      </c>
      <c r="O137" s="2" t="s">
        <v>76</v>
      </c>
      <c r="P137" s="2" t="s">
        <v>558</v>
      </c>
      <c r="Q137" s="2" t="s">
        <v>5</v>
      </c>
      <c r="R137" s="21">
        <f t="shared" si="18"/>
        <v>30596</v>
      </c>
      <c r="S137" s="21">
        <v>30596</v>
      </c>
      <c r="T137" s="5">
        <f t="shared" si="19"/>
        <v>15000</v>
      </c>
      <c r="V137">
        <f t="shared" si="20"/>
        <v>9</v>
      </c>
      <c r="W137">
        <f t="shared" si="21"/>
        <v>9</v>
      </c>
      <c r="X137" s="5">
        <f t="shared" si="22"/>
        <v>0</v>
      </c>
      <c r="Y137" s="2" t="s">
        <v>6</v>
      </c>
      <c r="Z137" s="2" t="s">
        <v>2</v>
      </c>
      <c r="AA137">
        <v>760</v>
      </c>
      <c r="AC137">
        <f t="shared" si="23"/>
        <v>2024</v>
      </c>
      <c r="AD137">
        <f t="shared" si="24"/>
        <v>2024</v>
      </c>
      <c r="AE137">
        <f t="shared" si="25"/>
        <v>2024</v>
      </c>
      <c r="AF137">
        <f t="shared" si="26"/>
        <v>9</v>
      </c>
    </row>
    <row r="138" spans="1:32" x14ac:dyDescent="0.25">
      <c r="A138" s="59">
        <v>45538</v>
      </c>
      <c r="B138" s="2">
        <v>1124</v>
      </c>
      <c r="C138" s="19" t="s">
        <v>104</v>
      </c>
      <c r="D138" s="19" t="s">
        <v>2</v>
      </c>
      <c r="E138" s="19" t="s">
        <v>2</v>
      </c>
      <c r="F138" s="19" t="s">
        <v>327</v>
      </c>
      <c r="G138" s="19" t="s">
        <v>328</v>
      </c>
      <c r="H138" s="19" t="s">
        <v>329</v>
      </c>
      <c r="I138" s="19" t="s">
        <v>571</v>
      </c>
      <c r="J138" s="2" t="s">
        <v>2</v>
      </c>
      <c r="K138" s="20">
        <v>45539</v>
      </c>
      <c r="L138" s="20">
        <v>45539</v>
      </c>
      <c r="M138" s="22">
        <v>170</v>
      </c>
      <c r="N138" s="21">
        <v>167800</v>
      </c>
      <c r="O138" s="2" t="s">
        <v>76</v>
      </c>
      <c r="P138" s="2" t="s">
        <v>4</v>
      </c>
      <c r="Q138" s="2" t="s">
        <v>5</v>
      </c>
      <c r="R138" s="21">
        <f t="shared" si="18"/>
        <v>167800</v>
      </c>
      <c r="S138" s="21">
        <v>167800</v>
      </c>
      <c r="T138" s="5">
        <f t="shared" si="19"/>
        <v>15000</v>
      </c>
      <c r="V138">
        <f t="shared" si="20"/>
        <v>9</v>
      </c>
      <c r="W138">
        <f t="shared" si="21"/>
        <v>9</v>
      </c>
      <c r="X138" s="5">
        <f t="shared" si="22"/>
        <v>0</v>
      </c>
      <c r="Y138" s="2" t="s">
        <v>6</v>
      </c>
      <c r="Z138" s="2" t="s">
        <v>2</v>
      </c>
      <c r="AA138">
        <v>751</v>
      </c>
      <c r="AC138">
        <f t="shared" si="23"/>
        <v>2024</v>
      </c>
      <c r="AD138">
        <f t="shared" si="24"/>
        <v>2024</v>
      </c>
      <c r="AE138">
        <f t="shared" si="25"/>
        <v>2024</v>
      </c>
      <c r="AF138">
        <f t="shared" si="26"/>
        <v>9</v>
      </c>
    </row>
    <row r="139" spans="1:32" x14ac:dyDescent="0.25">
      <c r="A139" s="59">
        <v>45539</v>
      </c>
      <c r="B139" s="2">
        <v>1125</v>
      </c>
      <c r="C139" s="19" t="s">
        <v>373</v>
      </c>
      <c r="D139" s="19" t="s">
        <v>2</v>
      </c>
      <c r="E139" s="19" t="s">
        <v>2</v>
      </c>
      <c r="F139" s="19" t="s">
        <v>400</v>
      </c>
      <c r="G139" s="19" t="s">
        <v>572</v>
      </c>
      <c r="H139" s="19" t="s">
        <v>573</v>
      </c>
      <c r="I139" s="19" t="s">
        <v>574</v>
      </c>
      <c r="J139" s="2" t="s">
        <v>2</v>
      </c>
      <c r="K139" s="20">
        <v>45539</v>
      </c>
      <c r="L139" s="20">
        <v>45540</v>
      </c>
      <c r="M139" s="22">
        <v>190</v>
      </c>
      <c r="N139" s="21">
        <v>187500</v>
      </c>
      <c r="O139" s="2" t="s">
        <v>76</v>
      </c>
      <c r="P139" s="2" t="s">
        <v>4</v>
      </c>
      <c r="Q139" s="2" t="s">
        <v>5</v>
      </c>
      <c r="R139" s="21">
        <f t="shared" si="18"/>
        <v>187500</v>
      </c>
      <c r="S139" s="21">
        <v>187500</v>
      </c>
      <c r="T139" s="5">
        <f t="shared" si="19"/>
        <v>15000</v>
      </c>
      <c r="V139">
        <f t="shared" si="20"/>
        <v>9</v>
      </c>
      <c r="W139">
        <f t="shared" si="21"/>
        <v>9</v>
      </c>
      <c r="X139" s="5">
        <f t="shared" si="22"/>
        <v>0</v>
      </c>
      <c r="Y139" s="2" t="s">
        <v>6</v>
      </c>
      <c r="Z139" s="2" t="s">
        <v>2</v>
      </c>
      <c r="AA139">
        <v>752</v>
      </c>
      <c r="AC139">
        <f t="shared" si="23"/>
        <v>2024</v>
      </c>
      <c r="AD139">
        <f t="shared" si="24"/>
        <v>2024</v>
      </c>
      <c r="AE139">
        <f t="shared" si="25"/>
        <v>2024</v>
      </c>
      <c r="AF139">
        <f t="shared" si="26"/>
        <v>9</v>
      </c>
    </row>
    <row r="140" spans="1:32" x14ac:dyDescent="0.25">
      <c r="A140" s="59">
        <v>45541</v>
      </c>
      <c r="B140" s="2">
        <v>1126</v>
      </c>
      <c r="C140" s="19" t="s">
        <v>575</v>
      </c>
      <c r="D140" s="19" t="s">
        <v>2</v>
      </c>
      <c r="E140" s="19" t="s">
        <v>2</v>
      </c>
      <c r="F140" s="19" t="s">
        <v>576</v>
      </c>
      <c r="G140" s="19" t="s">
        <v>352</v>
      </c>
      <c r="H140" s="19" t="s">
        <v>577</v>
      </c>
      <c r="I140" s="19" t="s">
        <v>578</v>
      </c>
      <c r="J140" s="2" t="s">
        <v>2</v>
      </c>
      <c r="K140" s="20">
        <v>45541</v>
      </c>
      <c r="L140" s="20">
        <v>45541</v>
      </c>
      <c r="M140" s="22">
        <v>85</v>
      </c>
      <c r="N140" s="21">
        <v>85000</v>
      </c>
      <c r="O140" s="2" t="s">
        <v>76</v>
      </c>
      <c r="P140" s="2" t="s">
        <v>4</v>
      </c>
      <c r="Q140" s="2" t="s">
        <v>5</v>
      </c>
      <c r="R140" s="21">
        <f t="shared" si="18"/>
        <v>85000</v>
      </c>
      <c r="S140" s="21">
        <v>85000</v>
      </c>
      <c r="T140" s="5">
        <f t="shared" si="19"/>
        <v>15000</v>
      </c>
      <c r="V140">
        <f t="shared" si="20"/>
        <v>9</v>
      </c>
      <c r="W140">
        <f t="shared" si="21"/>
        <v>9</v>
      </c>
      <c r="X140" s="5">
        <f t="shared" si="22"/>
        <v>0</v>
      </c>
      <c r="Y140" s="2" t="s">
        <v>6</v>
      </c>
      <c r="Z140" s="2" t="s">
        <v>2</v>
      </c>
      <c r="AA140">
        <v>754</v>
      </c>
      <c r="AC140">
        <f t="shared" si="23"/>
        <v>2024</v>
      </c>
      <c r="AD140">
        <f t="shared" si="24"/>
        <v>2024</v>
      </c>
      <c r="AE140">
        <f t="shared" si="25"/>
        <v>2024</v>
      </c>
      <c r="AF140">
        <f t="shared" si="26"/>
        <v>9</v>
      </c>
    </row>
    <row r="141" spans="1:32" x14ac:dyDescent="0.25">
      <c r="A141" s="59">
        <v>45541</v>
      </c>
      <c r="B141" s="2">
        <v>1127</v>
      </c>
      <c r="C141" s="19" t="s">
        <v>579</v>
      </c>
      <c r="D141" s="19" t="s">
        <v>2</v>
      </c>
      <c r="E141" s="19" t="s">
        <v>2</v>
      </c>
      <c r="F141" s="19" t="s">
        <v>450</v>
      </c>
      <c r="G141" s="19" t="s">
        <v>580</v>
      </c>
      <c r="H141" s="19" t="s">
        <v>581</v>
      </c>
      <c r="I141" s="19" t="s">
        <v>582</v>
      </c>
      <c r="J141" s="2" t="s">
        <v>2</v>
      </c>
      <c r="K141" s="20">
        <v>45551</v>
      </c>
      <c r="L141" s="20">
        <v>45551</v>
      </c>
      <c r="M141" s="22">
        <v>55</v>
      </c>
      <c r="N141" s="21">
        <v>55000</v>
      </c>
      <c r="O141" s="2" t="s">
        <v>76</v>
      </c>
      <c r="P141" s="2" t="s">
        <v>4</v>
      </c>
      <c r="Q141" s="2" t="s">
        <v>5</v>
      </c>
      <c r="R141" s="21">
        <f t="shared" si="18"/>
        <v>55000</v>
      </c>
      <c r="S141" s="21">
        <v>55000</v>
      </c>
      <c r="T141" s="5">
        <f t="shared" si="19"/>
        <v>15000</v>
      </c>
      <c r="V141">
        <f t="shared" si="20"/>
        <v>9</v>
      </c>
      <c r="W141">
        <f t="shared" si="21"/>
        <v>9</v>
      </c>
      <c r="X141" s="5">
        <f t="shared" si="22"/>
        <v>0</v>
      </c>
      <c r="Y141" s="2" t="s">
        <v>6</v>
      </c>
      <c r="Z141" s="2" t="s">
        <v>2</v>
      </c>
      <c r="AC141">
        <f t="shared" si="23"/>
        <v>2024</v>
      </c>
      <c r="AD141">
        <f t="shared" si="24"/>
        <v>2024</v>
      </c>
      <c r="AE141">
        <f t="shared" si="25"/>
        <v>2024</v>
      </c>
      <c r="AF141">
        <f t="shared" si="26"/>
        <v>9</v>
      </c>
    </row>
    <row r="142" spans="1:32" x14ac:dyDescent="0.25">
      <c r="A142" s="59">
        <v>45544.125</v>
      </c>
      <c r="B142" s="2">
        <v>1128</v>
      </c>
      <c r="C142" s="19" t="s">
        <v>0</v>
      </c>
      <c r="D142" s="19" t="s">
        <v>112</v>
      </c>
      <c r="E142" s="19" t="s">
        <v>2</v>
      </c>
      <c r="F142" s="19" t="s">
        <v>540</v>
      </c>
      <c r="G142" s="19" t="s">
        <v>541</v>
      </c>
      <c r="H142" s="19" t="s">
        <v>542</v>
      </c>
      <c r="I142" s="19" t="s">
        <v>583</v>
      </c>
      <c r="J142" s="2" t="s">
        <v>584</v>
      </c>
      <c r="K142" s="20">
        <v>45574.125</v>
      </c>
      <c r="L142" s="20">
        <v>45551.125</v>
      </c>
      <c r="M142" s="22">
        <v>294</v>
      </c>
      <c r="N142" s="21">
        <v>353995</v>
      </c>
      <c r="O142" s="2" t="s">
        <v>76</v>
      </c>
      <c r="P142" s="2" t="s">
        <v>4</v>
      </c>
      <c r="Q142" s="2" t="s">
        <v>5</v>
      </c>
      <c r="R142" s="21">
        <f t="shared" si="18"/>
        <v>353995</v>
      </c>
      <c r="S142" s="21">
        <v>353995</v>
      </c>
      <c r="T142" s="5">
        <f t="shared" si="19"/>
        <v>15000</v>
      </c>
      <c r="V142">
        <f t="shared" si="20"/>
        <v>10</v>
      </c>
      <c r="W142">
        <f t="shared" si="21"/>
        <v>9</v>
      </c>
      <c r="X142" s="5">
        <f t="shared" si="22"/>
        <v>0</v>
      </c>
      <c r="Y142" s="2" t="s">
        <v>6</v>
      </c>
      <c r="Z142" s="2" t="s">
        <v>2</v>
      </c>
      <c r="AC142">
        <f t="shared" si="23"/>
        <v>2024</v>
      </c>
      <c r="AD142">
        <f t="shared" si="24"/>
        <v>2024</v>
      </c>
      <c r="AE142">
        <f t="shared" si="25"/>
        <v>2024</v>
      </c>
      <c r="AF142">
        <f t="shared" si="26"/>
        <v>9</v>
      </c>
    </row>
    <row r="143" spans="1:32" x14ac:dyDescent="0.25">
      <c r="A143" s="59">
        <v>45544.125</v>
      </c>
      <c r="B143" s="2">
        <v>1129</v>
      </c>
      <c r="C143" s="19" t="s">
        <v>0</v>
      </c>
      <c r="D143" s="19" t="s">
        <v>112</v>
      </c>
      <c r="E143" s="19" t="s">
        <v>2</v>
      </c>
      <c r="F143" s="19" t="s">
        <v>540</v>
      </c>
      <c r="G143" s="19" t="s">
        <v>541</v>
      </c>
      <c r="H143" s="19" t="s">
        <v>542</v>
      </c>
      <c r="I143" s="19" t="s">
        <v>585</v>
      </c>
      <c r="J143" s="2" t="s">
        <v>586</v>
      </c>
      <c r="K143" s="20">
        <v>45574.125</v>
      </c>
      <c r="L143" s="20">
        <v>45551.125</v>
      </c>
      <c r="M143" s="22">
        <v>294</v>
      </c>
      <c r="N143" s="21">
        <v>353995</v>
      </c>
      <c r="O143" s="2" t="s">
        <v>76</v>
      </c>
      <c r="P143" s="2" t="s">
        <v>4</v>
      </c>
      <c r="Q143" s="2" t="s">
        <v>5</v>
      </c>
      <c r="R143" s="21">
        <f t="shared" si="18"/>
        <v>353995</v>
      </c>
      <c r="S143" s="21">
        <v>353995</v>
      </c>
      <c r="T143" s="5">
        <f t="shared" si="19"/>
        <v>15000</v>
      </c>
      <c r="V143">
        <f t="shared" si="20"/>
        <v>10</v>
      </c>
      <c r="W143">
        <f t="shared" si="21"/>
        <v>9</v>
      </c>
      <c r="X143" s="5">
        <f t="shared" si="22"/>
        <v>0</v>
      </c>
      <c r="Y143" s="2" t="s">
        <v>6</v>
      </c>
      <c r="Z143" s="2" t="s">
        <v>2</v>
      </c>
      <c r="AC143">
        <f t="shared" si="23"/>
        <v>2024</v>
      </c>
      <c r="AD143">
        <f t="shared" si="24"/>
        <v>2024</v>
      </c>
      <c r="AE143">
        <f t="shared" si="25"/>
        <v>2024</v>
      </c>
      <c r="AF143">
        <f t="shared" si="26"/>
        <v>9</v>
      </c>
    </row>
    <row r="144" spans="1:32" x14ac:dyDescent="0.25">
      <c r="A144" s="59">
        <v>45545</v>
      </c>
      <c r="B144" s="2">
        <v>1130</v>
      </c>
      <c r="C144" s="19" t="s">
        <v>82</v>
      </c>
      <c r="D144" s="19" t="s">
        <v>2</v>
      </c>
      <c r="E144" s="19" t="s">
        <v>2</v>
      </c>
      <c r="F144" s="19" t="s">
        <v>587</v>
      </c>
      <c r="G144" s="19" t="s">
        <v>588</v>
      </c>
      <c r="H144" s="19" t="s">
        <v>589</v>
      </c>
      <c r="I144" s="19" t="s">
        <v>590</v>
      </c>
      <c r="J144" s="2" t="s">
        <v>2</v>
      </c>
      <c r="K144" s="20">
        <v>45545</v>
      </c>
      <c r="L144" s="20">
        <v>45546</v>
      </c>
      <c r="M144" s="22">
        <v>398</v>
      </c>
      <c r="N144" s="21">
        <v>394500</v>
      </c>
      <c r="O144" s="2" t="s">
        <v>76</v>
      </c>
      <c r="P144" s="2" t="s">
        <v>4</v>
      </c>
      <c r="Q144" s="2" t="s">
        <v>5</v>
      </c>
      <c r="R144" s="21">
        <f t="shared" si="18"/>
        <v>394500</v>
      </c>
      <c r="S144" s="21">
        <v>394500</v>
      </c>
      <c r="T144" s="5">
        <f t="shared" si="19"/>
        <v>15000</v>
      </c>
      <c r="V144">
        <f t="shared" si="20"/>
        <v>9</v>
      </c>
      <c r="W144">
        <f t="shared" si="21"/>
        <v>9</v>
      </c>
      <c r="X144" s="5">
        <f t="shared" si="22"/>
        <v>0</v>
      </c>
      <c r="Y144" s="2" t="s">
        <v>6</v>
      </c>
      <c r="Z144" s="2" t="s">
        <v>2</v>
      </c>
      <c r="AA144">
        <v>756</v>
      </c>
      <c r="AC144">
        <f t="shared" si="23"/>
        <v>2024</v>
      </c>
      <c r="AD144">
        <f t="shared" si="24"/>
        <v>2024</v>
      </c>
      <c r="AE144">
        <f t="shared" si="25"/>
        <v>2024</v>
      </c>
      <c r="AF144">
        <f t="shared" si="26"/>
        <v>9</v>
      </c>
    </row>
    <row r="145" spans="1:32" x14ac:dyDescent="0.25">
      <c r="A145" s="59">
        <v>45545</v>
      </c>
      <c r="B145" s="2">
        <v>1131</v>
      </c>
      <c r="C145" s="19" t="s">
        <v>591</v>
      </c>
      <c r="D145" s="19" t="s">
        <v>2</v>
      </c>
      <c r="E145" s="19" t="s">
        <v>2</v>
      </c>
      <c r="F145" s="19" t="s">
        <v>400</v>
      </c>
      <c r="G145" s="19" t="s">
        <v>281</v>
      </c>
      <c r="H145" s="19" t="s">
        <v>592</v>
      </c>
      <c r="I145" s="19" t="s">
        <v>593</v>
      </c>
      <c r="J145" s="2" t="s">
        <v>2</v>
      </c>
      <c r="K145" s="20">
        <v>45545</v>
      </c>
      <c r="L145" s="20">
        <v>45545</v>
      </c>
      <c r="M145" s="22">
        <v>200</v>
      </c>
      <c r="N145" s="21">
        <v>198000</v>
      </c>
      <c r="O145" s="2" t="s">
        <v>76</v>
      </c>
      <c r="P145" s="2" t="s">
        <v>4</v>
      </c>
      <c r="Q145" s="2" t="s">
        <v>5</v>
      </c>
      <c r="R145" s="21">
        <f t="shared" si="18"/>
        <v>198000</v>
      </c>
      <c r="S145" s="21">
        <v>198000</v>
      </c>
      <c r="T145" s="5">
        <f t="shared" si="19"/>
        <v>15000</v>
      </c>
      <c r="V145">
        <f t="shared" si="20"/>
        <v>9</v>
      </c>
      <c r="W145">
        <f t="shared" si="21"/>
        <v>9</v>
      </c>
      <c r="X145" s="5">
        <f t="shared" si="22"/>
        <v>0</v>
      </c>
      <c r="Y145" s="2" t="s">
        <v>6</v>
      </c>
      <c r="Z145" s="2" t="s">
        <v>2</v>
      </c>
      <c r="AA145">
        <v>755</v>
      </c>
      <c r="AC145">
        <f t="shared" si="23"/>
        <v>2024</v>
      </c>
      <c r="AD145">
        <f t="shared" si="24"/>
        <v>2024</v>
      </c>
      <c r="AE145">
        <f t="shared" si="25"/>
        <v>2024</v>
      </c>
      <c r="AF145">
        <f t="shared" si="26"/>
        <v>9</v>
      </c>
    </row>
    <row r="146" spans="1:32" x14ac:dyDescent="0.25">
      <c r="A146" s="59">
        <v>45547</v>
      </c>
      <c r="B146" s="2">
        <v>1132</v>
      </c>
      <c r="C146" s="19" t="s">
        <v>594</v>
      </c>
      <c r="D146" s="19" t="s">
        <v>2</v>
      </c>
      <c r="E146" s="19" t="s">
        <v>2</v>
      </c>
      <c r="F146" s="19" t="s">
        <v>595</v>
      </c>
      <c r="G146" s="19" t="s">
        <v>352</v>
      </c>
      <c r="H146" s="19" t="s">
        <v>432</v>
      </c>
      <c r="I146" s="19" t="s">
        <v>596</v>
      </c>
      <c r="J146" s="2" t="s">
        <v>2</v>
      </c>
      <c r="K146" s="20">
        <v>45547</v>
      </c>
      <c r="L146" s="20">
        <v>45552</v>
      </c>
      <c r="M146" s="22">
        <v>147</v>
      </c>
      <c r="N146" s="21">
        <v>147500</v>
      </c>
      <c r="O146" s="2" t="s">
        <v>76</v>
      </c>
      <c r="P146" s="2" t="s">
        <v>4</v>
      </c>
      <c r="Q146" s="2" t="s">
        <v>5</v>
      </c>
      <c r="R146" s="21">
        <f t="shared" si="18"/>
        <v>147500</v>
      </c>
      <c r="S146" s="21">
        <v>147500</v>
      </c>
      <c r="T146" s="5">
        <f t="shared" si="19"/>
        <v>15000</v>
      </c>
      <c r="V146">
        <f t="shared" si="20"/>
        <v>9</v>
      </c>
      <c r="W146">
        <f t="shared" si="21"/>
        <v>9</v>
      </c>
      <c r="X146" s="5">
        <f t="shared" si="22"/>
        <v>0</v>
      </c>
      <c r="Y146" s="2" t="s">
        <v>6</v>
      </c>
      <c r="Z146" s="2" t="s">
        <v>2</v>
      </c>
      <c r="AA146">
        <v>757</v>
      </c>
      <c r="AC146">
        <f t="shared" si="23"/>
        <v>2024</v>
      </c>
      <c r="AD146">
        <f t="shared" si="24"/>
        <v>2024</v>
      </c>
      <c r="AE146">
        <f t="shared" si="25"/>
        <v>2024</v>
      </c>
      <c r="AF146">
        <f t="shared" si="26"/>
        <v>9</v>
      </c>
    </row>
    <row r="147" spans="1:32" x14ac:dyDescent="0.25">
      <c r="A147" s="59">
        <v>45547</v>
      </c>
      <c r="B147" s="2">
        <v>1133</v>
      </c>
      <c r="C147" s="19" t="s">
        <v>597</v>
      </c>
      <c r="D147" s="19" t="s">
        <v>2</v>
      </c>
      <c r="E147" s="19" t="s">
        <v>2</v>
      </c>
      <c r="F147" s="19" t="s">
        <v>598</v>
      </c>
      <c r="G147" s="19" t="s">
        <v>164</v>
      </c>
      <c r="H147" s="19" t="s">
        <v>599</v>
      </c>
      <c r="I147" s="19" t="s">
        <v>600</v>
      </c>
      <c r="J147" s="2" t="s">
        <v>2</v>
      </c>
      <c r="K147" s="20">
        <v>45559</v>
      </c>
      <c r="L147" s="20">
        <v>45551</v>
      </c>
      <c r="M147" s="22">
        <v>245</v>
      </c>
      <c r="N147" s="21">
        <v>245000</v>
      </c>
      <c r="O147" s="2" t="s">
        <v>76</v>
      </c>
      <c r="P147" s="2" t="s">
        <v>4</v>
      </c>
      <c r="Q147" s="2" t="s">
        <v>5</v>
      </c>
      <c r="R147" s="21">
        <f t="shared" si="18"/>
        <v>245000</v>
      </c>
      <c r="S147" s="21">
        <v>245000</v>
      </c>
      <c r="T147" s="5">
        <f t="shared" si="19"/>
        <v>15000</v>
      </c>
      <c r="V147">
        <f t="shared" si="20"/>
        <v>9</v>
      </c>
      <c r="W147">
        <f t="shared" si="21"/>
        <v>9</v>
      </c>
      <c r="X147" s="5">
        <f t="shared" si="22"/>
        <v>0</v>
      </c>
      <c r="Y147" s="2" t="s">
        <v>6</v>
      </c>
      <c r="Z147" s="2" t="s">
        <v>2</v>
      </c>
      <c r="AC147">
        <f t="shared" si="23"/>
        <v>2024</v>
      </c>
      <c r="AD147">
        <f t="shared" si="24"/>
        <v>2024</v>
      </c>
      <c r="AE147">
        <f t="shared" si="25"/>
        <v>2024</v>
      </c>
      <c r="AF147">
        <f t="shared" si="26"/>
        <v>9</v>
      </c>
    </row>
    <row r="148" spans="1:32" x14ac:dyDescent="0.25">
      <c r="A148" s="59">
        <v>45548</v>
      </c>
      <c r="B148" s="2">
        <v>1134</v>
      </c>
      <c r="C148" s="19" t="s">
        <v>566</v>
      </c>
      <c r="D148" s="19" t="s">
        <v>2</v>
      </c>
      <c r="E148" s="19" t="s">
        <v>2</v>
      </c>
      <c r="F148" s="19" t="s">
        <v>595</v>
      </c>
      <c r="G148" s="19" t="s">
        <v>196</v>
      </c>
      <c r="H148" s="19" t="s">
        <v>601</v>
      </c>
      <c r="I148" s="19" t="s">
        <v>602</v>
      </c>
      <c r="J148" s="2" t="s">
        <v>2</v>
      </c>
      <c r="K148" s="20">
        <v>45548</v>
      </c>
      <c r="L148" s="20">
        <v>45548</v>
      </c>
      <c r="M148" s="22">
        <v>190</v>
      </c>
      <c r="N148" s="21">
        <v>188500</v>
      </c>
      <c r="O148" s="2" t="s">
        <v>76</v>
      </c>
      <c r="P148" s="2" t="s">
        <v>4</v>
      </c>
      <c r="Q148" s="2" t="s">
        <v>5</v>
      </c>
      <c r="R148" s="21">
        <f t="shared" si="18"/>
        <v>188500</v>
      </c>
      <c r="S148" s="21">
        <v>188500</v>
      </c>
      <c r="T148" s="5">
        <f t="shared" si="19"/>
        <v>15000</v>
      </c>
      <c r="V148">
        <f t="shared" si="20"/>
        <v>9</v>
      </c>
      <c r="W148">
        <f t="shared" si="21"/>
        <v>9</v>
      </c>
      <c r="X148" s="5">
        <f t="shared" si="22"/>
        <v>0</v>
      </c>
      <c r="Y148" s="2" t="s">
        <v>6</v>
      </c>
      <c r="Z148" s="2" t="s">
        <v>2</v>
      </c>
      <c r="AA148">
        <v>758</v>
      </c>
      <c r="AC148">
        <f t="shared" si="23"/>
        <v>2024</v>
      </c>
      <c r="AD148">
        <f t="shared" si="24"/>
        <v>2024</v>
      </c>
      <c r="AE148">
        <f t="shared" si="25"/>
        <v>2024</v>
      </c>
      <c r="AF148">
        <f t="shared" si="26"/>
        <v>9</v>
      </c>
    </row>
    <row r="149" spans="1:32" x14ac:dyDescent="0.25">
      <c r="A149" s="59">
        <v>45548</v>
      </c>
      <c r="B149" s="2">
        <v>1135</v>
      </c>
      <c r="C149" s="19" t="s">
        <v>603</v>
      </c>
      <c r="D149" s="19" t="s">
        <v>2</v>
      </c>
      <c r="E149" s="19" t="s">
        <v>2</v>
      </c>
      <c r="F149" s="19" t="s">
        <v>587</v>
      </c>
      <c r="G149" s="19" t="s">
        <v>458</v>
      </c>
      <c r="H149" s="19" t="s">
        <v>604</v>
      </c>
      <c r="I149" s="19" t="s">
        <v>605</v>
      </c>
      <c r="J149" s="2" t="s">
        <v>2</v>
      </c>
      <c r="K149" s="20">
        <v>45559</v>
      </c>
      <c r="L149" s="20">
        <v>45553</v>
      </c>
      <c r="M149" s="22">
        <v>350</v>
      </c>
      <c r="N149" s="21">
        <v>320000</v>
      </c>
      <c r="O149" s="2" t="s">
        <v>76</v>
      </c>
      <c r="P149" s="2" t="s">
        <v>4</v>
      </c>
      <c r="Q149" s="2" t="s">
        <v>5</v>
      </c>
      <c r="R149" s="21">
        <f t="shared" si="18"/>
        <v>320000</v>
      </c>
      <c r="S149" s="21">
        <v>320000</v>
      </c>
      <c r="T149" s="5">
        <f t="shared" si="19"/>
        <v>15000</v>
      </c>
      <c r="V149">
        <f t="shared" si="20"/>
        <v>9</v>
      </c>
      <c r="W149">
        <f t="shared" si="21"/>
        <v>9</v>
      </c>
      <c r="X149" s="5">
        <f t="shared" si="22"/>
        <v>0</v>
      </c>
      <c r="Y149" s="2" t="s">
        <v>6</v>
      </c>
      <c r="Z149" s="2" t="s">
        <v>2</v>
      </c>
      <c r="AA149">
        <v>764</v>
      </c>
      <c r="AC149">
        <f t="shared" si="23"/>
        <v>2024</v>
      </c>
      <c r="AD149">
        <f t="shared" si="24"/>
        <v>2024</v>
      </c>
      <c r="AE149">
        <f t="shared" si="25"/>
        <v>2024</v>
      </c>
      <c r="AF149">
        <f t="shared" si="26"/>
        <v>9</v>
      </c>
    </row>
    <row r="150" spans="1:32" x14ac:dyDescent="0.25">
      <c r="A150" s="59">
        <v>45548</v>
      </c>
      <c r="B150" s="2">
        <v>1136</v>
      </c>
      <c r="C150" s="19" t="s">
        <v>136</v>
      </c>
      <c r="D150" s="19" t="s">
        <v>2</v>
      </c>
      <c r="E150" s="19" t="s">
        <v>2</v>
      </c>
      <c r="F150" s="19" t="s">
        <v>606</v>
      </c>
      <c r="G150" s="19" t="s">
        <v>92</v>
      </c>
      <c r="H150" s="19" t="s">
        <v>607</v>
      </c>
      <c r="I150" s="19" t="s">
        <v>608</v>
      </c>
      <c r="J150" s="2" t="s">
        <v>2</v>
      </c>
      <c r="K150" s="20">
        <v>45551</v>
      </c>
      <c r="L150" s="20">
        <v>45551</v>
      </c>
      <c r="M150" s="22">
        <v>89</v>
      </c>
      <c r="N150" s="21">
        <v>88500</v>
      </c>
      <c r="O150" s="2" t="s">
        <v>76</v>
      </c>
      <c r="P150" s="2" t="s">
        <v>4</v>
      </c>
      <c r="Q150" s="2" t="s">
        <v>5</v>
      </c>
      <c r="R150" s="21">
        <f t="shared" si="18"/>
        <v>88500</v>
      </c>
      <c r="S150" s="21">
        <v>88500</v>
      </c>
      <c r="T150" s="5">
        <f t="shared" si="19"/>
        <v>15000</v>
      </c>
      <c r="V150">
        <f t="shared" si="20"/>
        <v>9</v>
      </c>
      <c r="W150">
        <f t="shared" si="21"/>
        <v>9</v>
      </c>
      <c r="X150" s="5">
        <f t="shared" si="22"/>
        <v>0</v>
      </c>
      <c r="Y150" s="2" t="s">
        <v>6</v>
      </c>
      <c r="Z150" s="2" t="s">
        <v>2</v>
      </c>
      <c r="AA150">
        <v>759</v>
      </c>
      <c r="AC150">
        <f t="shared" si="23"/>
        <v>2024</v>
      </c>
      <c r="AD150">
        <f t="shared" si="24"/>
        <v>2024</v>
      </c>
      <c r="AE150">
        <f t="shared" si="25"/>
        <v>2024</v>
      </c>
      <c r="AF150">
        <f t="shared" si="26"/>
        <v>9</v>
      </c>
    </row>
    <row r="151" spans="1:32" x14ac:dyDescent="0.25">
      <c r="A151" s="59">
        <v>45554</v>
      </c>
      <c r="B151" s="2">
        <v>1137</v>
      </c>
      <c r="C151" s="19" t="s">
        <v>609</v>
      </c>
      <c r="D151" s="19" t="s">
        <v>2</v>
      </c>
      <c r="E151" s="19" t="s">
        <v>2</v>
      </c>
      <c r="F151" s="19" t="s">
        <v>610</v>
      </c>
      <c r="G151" s="19" t="s">
        <v>611</v>
      </c>
      <c r="H151" s="19" t="s">
        <v>612</v>
      </c>
      <c r="I151" s="19" t="s">
        <v>613</v>
      </c>
      <c r="J151" s="2" t="s">
        <v>2</v>
      </c>
      <c r="K151" s="20">
        <v>45582</v>
      </c>
      <c r="L151" s="20">
        <v>45558</v>
      </c>
      <c r="M151" s="22">
        <v>700</v>
      </c>
      <c r="N151" s="21">
        <v>627000</v>
      </c>
      <c r="O151" s="2" t="s">
        <v>76</v>
      </c>
      <c r="P151" s="2" t="s">
        <v>4</v>
      </c>
      <c r="Q151" s="2" t="s">
        <v>5</v>
      </c>
      <c r="R151" s="21">
        <f t="shared" si="18"/>
        <v>627000</v>
      </c>
      <c r="S151" s="21">
        <v>627000</v>
      </c>
      <c r="T151" s="5">
        <f t="shared" si="19"/>
        <v>15000</v>
      </c>
      <c r="V151">
        <f t="shared" si="20"/>
        <v>10</v>
      </c>
      <c r="W151">
        <f t="shared" si="21"/>
        <v>9</v>
      </c>
      <c r="X151" s="5">
        <f t="shared" si="22"/>
        <v>0</v>
      </c>
      <c r="Y151" s="2" t="s">
        <v>6</v>
      </c>
      <c r="Z151" s="2" t="s">
        <v>2</v>
      </c>
      <c r="AA151">
        <v>770</v>
      </c>
      <c r="AC151">
        <f t="shared" si="23"/>
        <v>2024</v>
      </c>
      <c r="AD151">
        <f t="shared" si="24"/>
        <v>2024</v>
      </c>
      <c r="AE151">
        <f t="shared" si="25"/>
        <v>2024</v>
      </c>
      <c r="AF151">
        <f t="shared" si="26"/>
        <v>9</v>
      </c>
    </row>
    <row r="152" spans="1:32" x14ac:dyDescent="0.25">
      <c r="A152" s="59">
        <v>45558</v>
      </c>
      <c r="B152" s="2">
        <v>1138</v>
      </c>
      <c r="C152" s="19" t="s">
        <v>614</v>
      </c>
      <c r="D152" s="19" t="s">
        <v>2</v>
      </c>
      <c r="E152" s="19" t="s">
        <v>2</v>
      </c>
      <c r="F152" s="19" t="s">
        <v>615</v>
      </c>
      <c r="G152" s="19" t="s">
        <v>616</v>
      </c>
      <c r="H152" s="19" t="s">
        <v>617</v>
      </c>
      <c r="I152" s="19" t="s">
        <v>618</v>
      </c>
      <c r="J152" s="2" t="s">
        <v>2</v>
      </c>
      <c r="K152" s="20">
        <v>45558</v>
      </c>
      <c r="L152" s="20">
        <v>45558</v>
      </c>
      <c r="M152" s="22">
        <v>200</v>
      </c>
      <c r="N152" s="21">
        <v>198000</v>
      </c>
      <c r="O152" s="2" t="s">
        <v>76</v>
      </c>
      <c r="P152" s="2" t="s">
        <v>4</v>
      </c>
      <c r="Q152" s="2" t="s">
        <v>5</v>
      </c>
      <c r="R152" s="21">
        <f t="shared" si="18"/>
        <v>198000</v>
      </c>
      <c r="S152" s="21">
        <v>198000</v>
      </c>
      <c r="T152" s="5">
        <f t="shared" si="19"/>
        <v>15000</v>
      </c>
      <c r="V152">
        <f t="shared" si="20"/>
        <v>9</v>
      </c>
      <c r="W152">
        <f t="shared" si="21"/>
        <v>9</v>
      </c>
      <c r="X152" s="5">
        <f t="shared" si="22"/>
        <v>0</v>
      </c>
      <c r="Y152" s="2" t="s">
        <v>6</v>
      </c>
      <c r="Z152" s="2" t="s">
        <v>2</v>
      </c>
      <c r="AA152">
        <v>761</v>
      </c>
      <c r="AC152">
        <f t="shared" si="23"/>
        <v>2024</v>
      </c>
      <c r="AD152">
        <f t="shared" si="24"/>
        <v>2024</v>
      </c>
      <c r="AE152">
        <f t="shared" si="25"/>
        <v>2024</v>
      </c>
      <c r="AF152">
        <f t="shared" si="26"/>
        <v>9</v>
      </c>
    </row>
    <row r="153" spans="1:32" x14ac:dyDescent="0.25">
      <c r="A153" s="59">
        <v>45559</v>
      </c>
      <c r="B153" s="2">
        <v>1139</v>
      </c>
      <c r="C153" s="19" t="s">
        <v>99</v>
      </c>
      <c r="D153" s="19" t="s">
        <v>2</v>
      </c>
      <c r="E153" s="19" t="s">
        <v>2</v>
      </c>
      <c r="F153" s="19" t="s">
        <v>547</v>
      </c>
      <c r="G153" s="19" t="s">
        <v>548</v>
      </c>
      <c r="H153" s="19" t="s">
        <v>549</v>
      </c>
      <c r="I153" s="19" t="s">
        <v>619</v>
      </c>
      <c r="J153" s="2" t="s">
        <v>2</v>
      </c>
      <c r="K153" s="20">
        <v>45572</v>
      </c>
      <c r="L153" s="20">
        <v>45572</v>
      </c>
      <c r="M153" s="22">
        <v>400</v>
      </c>
      <c r="N153" s="21">
        <v>398500</v>
      </c>
      <c r="O153" s="2" t="s">
        <v>76</v>
      </c>
      <c r="P153" s="2" t="s">
        <v>4</v>
      </c>
      <c r="Q153" s="2" t="s">
        <v>5</v>
      </c>
      <c r="R153" s="21">
        <f t="shared" si="18"/>
        <v>398500</v>
      </c>
      <c r="S153" s="21">
        <v>398500</v>
      </c>
      <c r="T153" s="5">
        <f t="shared" si="19"/>
        <v>15000</v>
      </c>
      <c r="V153">
        <f t="shared" si="20"/>
        <v>10</v>
      </c>
      <c r="W153">
        <f t="shared" si="21"/>
        <v>9</v>
      </c>
      <c r="X153" s="5">
        <f t="shared" si="22"/>
        <v>0</v>
      </c>
      <c r="Y153" s="2" t="s">
        <v>6</v>
      </c>
      <c r="Z153" s="2" t="s">
        <v>2</v>
      </c>
      <c r="AA153">
        <v>769</v>
      </c>
      <c r="AC153">
        <f t="shared" si="23"/>
        <v>2024</v>
      </c>
      <c r="AD153">
        <f t="shared" si="24"/>
        <v>2024</v>
      </c>
      <c r="AE153">
        <f t="shared" si="25"/>
        <v>2024</v>
      </c>
      <c r="AF153">
        <f t="shared" si="26"/>
        <v>10</v>
      </c>
    </row>
    <row r="154" spans="1:32" x14ac:dyDescent="0.25">
      <c r="A154" s="59">
        <v>45559</v>
      </c>
      <c r="B154" s="2">
        <v>1140</v>
      </c>
      <c r="C154" s="19" t="s">
        <v>99</v>
      </c>
      <c r="D154" s="19" t="s">
        <v>2</v>
      </c>
      <c r="E154" s="19" t="s">
        <v>2</v>
      </c>
      <c r="F154" s="19" t="s">
        <v>620</v>
      </c>
      <c r="G154" s="19" t="s">
        <v>611</v>
      </c>
      <c r="H154" s="19" t="s">
        <v>621</v>
      </c>
      <c r="I154" s="19" t="s">
        <v>622</v>
      </c>
      <c r="J154" s="2" t="s">
        <v>2</v>
      </c>
      <c r="K154" s="20">
        <v>45684</v>
      </c>
      <c r="L154" s="20">
        <v>45684</v>
      </c>
      <c r="M154" s="22">
        <v>1000</v>
      </c>
      <c r="N154" s="21">
        <v>987540</v>
      </c>
      <c r="O154" s="2" t="s">
        <v>3</v>
      </c>
      <c r="P154" s="2" t="s">
        <v>146</v>
      </c>
      <c r="Q154" s="2" t="s">
        <v>147</v>
      </c>
      <c r="R154" s="21">
        <f t="shared" si="18"/>
        <v>0</v>
      </c>
      <c r="S154" s="21">
        <v>0</v>
      </c>
      <c r="T154" s="5">
        <f t="shared" si="19"/>
        <v>15000</v>
      </c>
      <c r="V154">
        <f t="shared" si="20"/>
        <v>1</v>
      </c>
      <c r="W154">
        <f t="shared" si="21"/>
        <v>9</v>
      </c>
      <c r="X154" s="5">
        <f t="shared" si="22"/>
        <v>0</v>
      </c>
      <c r="Y154" s="2" t="s">
        <v>6</v>
      </c>
      <c r="Z154" s="2" t="s">
        <v>2</v>
      </c>
      <c r="AC154">
        <f t="shared" si="23"/>
        <v>2025</v>
      </c>
      <c r="AD154">
        <f t="shared" si="24"/>
        <v>2024</v>
      </c>
      <c r="AE154">
        <f t="shared" si="25"/>
        <v>2025</v>
      </c>
      <c r="AF154">
        <f t="shared" si="26"/>
        <v>1</v>
      </c>
    </row>
    <row r="155" spans="1:32" x14ac:dyDescent="0.25">
      <c r="A155" s="59">
        <v>45560</v>
      </c>
      <c r="B155" s="2">
        <v>1141</v>
      </c>
      <c r="C155" s="19" t="s">
        <v>623</v>
      </c>
      <c r="D155" s="19" t="s">
        <v>2</v>
      </c>
      <c r="E155" s="19" t="s">
        <v>2</v>
      </c>
      <c r="F155" s="19" t="s">
        <v>624</v>
      </c>
      <c r="G155" s="19" t="s">
        <v>625</v>
      </c>
      <c r="H155" s="19" t="s">
        <v>626</v>
      </c>
      <c r="I155" s="19" t="s">
        <v>627</v>
      </c>
      <c r="J155" s="2" t="s">
        <v>2</v>
      </c>
      <c r="K155" s="20">
        <v>45560</v>
      </c>
      <c r="L155" s="20">
        <v>45560</v>
      </c>
      <c r="M155" s="22">
        <v>50</v>
      </c>
      <c r="N155" s="21">
        <v>49500</v>
      </c>
      <c r="O155" s="2" t="s">
        <v>76</v>
      </c>
      <c r="P155" s="2" t="s">
        <v>4</v>
      </c>
      <c r="Q155" s="2" t="s">
        <v>5</v>
      </c>
      <c r="R155" s="21">
        <f t="shared" si="18"/>
        <v>49500</v>
      </c>
      <c r="S155" s="21">
        <v>49500</v>
      </c>
      <c r="T155" s="5">
        <f t="shared" si="19"/>
        <v>15000</v>
      </c>
      <c r="V155">
        <f t="shared" si="20"/>
        <v>9</v>
      </c>
      <c r="W155">
        <f t="shared" si="21"/>
        <v>9</v>
      </c>
      <c r="X155" s="5">
        <f t="shared" si="22"/>
        <v>0</v>
      </c>
      <c r="Y155" s="2" t="s">
        <v>6</v>
      </c>
      <c r="Z155" s="2" t="s">
        <v>2</v>
      </c>
      <c r="AA155">
        <v>763</v>
      </c>
      <c r="AC155">
        <f t="shared" si="23"/>
        <v>2024</v>
      </c>
      <c r="AD155">
        <f t="shared" si="24"/>
        <v>2024</v>
      </c>
      <c r="AE155">
        <f t="shared" si="25"/>
        <v>2024</v>
      </c>
      <c r="AF155">
        <f t="shared" si="26"/>
        <v>9</v>
      </c>
    </row>
    <row r="156" spans="1:32" x14ac:dyDescent="0.25">
      <c r="A156" s="59">
        <v>45560.125</v>
      </c>
      <c r="B156" s="2">
        <v>1142</v>
      </c>
      <c r="C156" s="19" t="s">
        <v>575</v>
      </c>
      <c r="D156" s="19" t="s">
        <v>2</v>
      </c>
      <c r="E156" s="19" t="s">
        <v>2</v>
      </c>
      <c r="F156" s="19" t="s">
        <v>400</v>
      </c>
      <c r="G156" s="19" t="s">
        <v>352</v>
      </c>
      <c r="H156" s="19" t="s">
        <v>432</v>
      </c>
      <c r="I156" s="19" t="s">
        <v>628</v>
      </c>
      <c r="J156" s="2" t="s">
        <v>2</v>
      </c>
      <c r="K156" s="20">
        <v>45560.125</v>
      </c>
      <c r="L156" s="20">
        <v>45643.125</v>
      </c>
      <c r="M156" s="22">
        <v>167</v>
      </c>
      <c r="N156" s="21">
        <v>167500</v>
      </c>
      <c r="O156" s="2" t="s">
        <v>76</v>
      </c>
      <c r="P156" s="2" t="s">
        <v>4</v>
      </c>
      <c r="Q156" s="2" t="s">
        <v>5</v>
      </c>
      <c r="R156" s="21">
        <f t="shared" si="18"/>
        <v>167500</v>
      </c>
      <c r="S156" s="21">
        <v>167500</v>
      </c>
      <c r="T156" s="5">
        <f t="shared" si="19"/>
        <v>15000</v>
      </c>
      <c r="V156">
        <f t="shared" si="20"/>
        <v>9</v>
      </c>
      <c r="W156">
        <f t="shared" si="21"/>
        <v>9</v>
      </c>
      <c r="X156" s="5">
        <f t="shared" si="22"/>
        <v>0</v>
      </c>
      <c r="Y156" s="2" t="s">
        <v>6</v>
      </c>
      <c r="Z156" s="2" t="s">
        <v>2</v>
      </c>
      <c r="AA156">
        <v>799</v>
      </c>
      <c r="AC156">
        <f t="shared" si="23"/>
        <v>2024</v>
      </c>
      <c r="AD156">
        <f t="shared" si="24"/>
        <v>2024</v>
      </c>
      <c r="AE156">
        <f t="shared" si="25"/>
        <v>2024</v>
      </c>
      <c r="AF156">
        <f t="shared" si="26"/>
        <v>12</v>
      </c>
    </row>
    <row r="157" spans="1:32" x14ac:dyDescent="0.25">
      <c r="A157" s="59">
        <v>45560</v>
      </c>
      <c r="B157" s="2">
        <v>1143</v>
      </c>
      <c r="C157" s="19" t="s">
        <v>575</v>
      </c>
      <c r="D157" s="19" t="s">
        <v>2</v>
      </c>
      <c r="E157" s="19" t="s">
        <v>2</v>
      </c>
      <c r="F157" s="19" t="s">
        <v>595</v>
      </c>
      <c r="G157" s="19" t="s">
        <v>352</v>
      </c>
      <c r="H157" s="19" t="s">
        <v>432</v>
      </c>
      <c r="I157" s="19" t="s">
        <v>629</v>
      </c>
      <c r="J157" s="2" t="s">
        <v>2</v>
      </c>
      <c r="K157" s="20">
        <v>45560</v>
      </c>
      <c r="L157" s="20">
        <v>45572</v>
      </c>
      <c r="M157" s="22">
        <v>150</v>
      </c>
      <c r="N157" s="21">
        <v>149500</v>
      </c>
      <c r="O157" s="2" t="s">
        <v>76</v>
      </c>
      <c r="P157" s="2" t="s">
        <v>4</v>
      </c>
      <c r="Q157" s="2" t="s">
        <v>5</v>
      </c>
      <c r="R157" s="21">
        <f t="shared" si="18"/>
        <v>149500</v>
      </c>
      <c r="S157" s="21">
        <v>149500</v>
      </c>
      <c r="T157" s="5">
        <f t="shared" si="19"/>
        <v>15000</v>
      </c>
      <c r="V157">
        <f t="shared" si="20"/>
        <v>9</v>
      </c>
      <c r="W157">
        <f t="shared" si="21"/>
        <v>9</v>
      </c>
      <c r="X157" s="5">
        <f t="shared" si="22"/>
        <v>0</v>
      </c>
      <c r="Y157" s="2" t="s">
        <v>6</v>
      </c>
      <c r="Z157" s="2" t="s">
        <v>2</v>
      </c>
      <c r="AA157">
        <v>767</v>
      </c>
      <c r="AC157">
        <f t="shared" si="23"/>
        <v>2024</v>
      </c>
      <c r="AD157">
        <f t="shared" si="24"/>
        <v>2024</v>
      </c>
      <c r="AE157">
        <f t="shared" si="25"/>
        <v>2024</v>
      </c>
      <c r="AF157">
        <f t="shared" si="26"/>
        <v>10</v>
      </c>
    </row>
    <row r="158" spans="1:32" x14ac:dyDescent="0.25">
      <c r="A158" s="59">
        <v>45561</v>
      </c>
      <c r="B158" s="2">
        <v>1144</v>
      </c>
      <c r="C158" s="19" t="s">
        <v>1</v>
      </c>
      <c r="D158" s="19" t="s">
        <v>2</v>
      </c>
      <c r="E158" s="19" t="s">
        <v>2</v>
      </c>
      <c r="F158" s="19" t="s">
        <v>137</v>
      </c>
      <c r="G158" s="19" t="s">
        <v>138</v>
      </c>
      <c r="H158" s="19" t="s">
        <v>139</v>
      </c>
      <c r="I158" s="19" t="s">
        <v>630</v>
      </c>
      <c r="J158" s="2" t="s">
        <v>2</v>
      </c>
      <c r="K158" s="20">
        <v>45561</v>
      </c>
      <c r="L158" s="20">
        <v>45572</v>
      </c>
      <c r="M158" s="22">
        <v>135</v>
      </c>
      <c r="N158" s="21">
        <v>133650</v>
      </c>
      <c r="O158" s="2" t="s">
        <v>76</v>
      </c>
      <c r="P158" s="2" t="s">
        <v>4</v>
      </c>
      <c r="Q158" s="2" t="s">
        <v>5</v>
      </c>
      <c r="R158" s="21">
        <f t="shared" si="18"/>
        <v>133650</v>
      </c>
      <c r="S158" s="21">
        <v>133650</v>
      </c>
      <c r="T158" s="5">
        <f t="shared" si="19"/>
        <v>15000</v>
      </c>
      <c r="V158">
        <f t="shared" si="20"/>
        <v>9</v>
      </c>
      <c r="W158">
        <f t="shared" si="21"/>
        <v>9</v>
      </c>
      <c r="X158" s="5">
        <f t="shared" si="22"/>
        <v>0</v>
      </c>
      <c r="Y158" s="2" t="s">
        <v>6</v>
      </c>
      <c r="Z158" s="2" t="s">
        <v>2</v>
      </c>
      <c r="AA158">
        <v>771</v>
      </c>
      <c r="AC158">
        <f t="shared" si="23"/>
        <v>2024</v>
      </c>
      <c r="AD158">
        <f t="shared" si="24"/>
        <v>2024</v>
      </c>
      <c r="AE158">
        <f t="shared" si="25"/>
        <v>2024</v>
      </c>
      <c r="AF158">
        <f t="shared" si="26"/>
        <v>10</v>
      </c>
    </row>
    <row r="159" spans="1:32" x14ac:dyDescent="0.25">
      <c r="A159" s="59">
        <v>45562</v>
      </c>
      <c r="B159" s="2">
        <v>1145</v>
      </c>
      <c r="C159" s="19" t="s">
        <v>1</v>
      </c>
      <c r="D159" s="19" t="s">
        <v>2</v>
      </c>
      <c r="E159" s="19" t="s">
        <v>2</v>
      </c>
      <c r="F159" s="19" t="s">
        <v>606</v>
      </c>
      <c r="G159" s="19" t="s">
        <v>92</v>
      </c>
      <c r="H159" s="19" t="s">
        <v>631</v>
      </c>
      <c r="I159" s="19" t="s">
        <v>632</v>
      </c>
      <c r="J159" s="2" t="s">
        <v>2</v>
      </c>
      <c r="K159" s="20">
        <v>45562</v>
      </c>
      <c r="L159" s="20">
        <v>45566</v>
      </c>
      <c r="M159" s="22">
        <v>130</v>
      </c>
      <c r="N159" s="21">
        <v>137500</v>
      </c>
      <c r="O159" s="2" t="s">
        <v>76</v>
      </c>
      <c r="P159" s="2" t="s">
        <v>4</v>
      </c>
      <c r="Q159" s="2" t="s">
        <v>5</v>
      </c>
      <c r="R159" s="21">
        <f t="shared" si="18"/>
        <v>137500</v>
      </c>
      <c r="S159" s="21">
        <v>137500</v>
      </c>
      <c r="T159" s="5">
        <f t="shared" si="19"/>
        <v>15000</v>
      </c>
      <c r="V159">
        <f t="shared" si="20"/>
        <v>9</v>
      </c>
      <c r="W159">
        <f t="shared" si="21"/>
        <v>9</v>
      </c>
      <c r="X159" s="5">
        <f t="shared" si="22"/>
        <v>0</v>
      </c>
      <c r="Y159" s="2" t="s">
        <v>6</v>
      </c>
      <c r="Z159" s="2" t="s">
        <v>2</v>
      </c>
      <c r="AA159">
        <v>762</v>
      </c>
      <c r="AC159">
        <f t="shared" si="23"/>
        <v>2024</v>
      </c>
      <c r="AD159">
        <f t="shared" si="24"/>
        <v>2024</v>
      </c>
      <c r="AE159">
        <f t="shared" si="25"/>
        <v>2024</v>
      </c>
      <c r="AF159">
        <f t="shared" si="26"/>
        <v>10</v>
      </c>
    </row>
    <row r="160" spans="1:32" x14ac:dyDescent="0.25">
      <c r="A160" s="59">
        <v>45565</v>
      </c>
      <c r="B160" s="2">
        <v>1146</v>
      </c>
      <c r="C160" s="19" t="s">
        <v>633</v>
      </c>
      <c r="D160" s="19" t="s">
        <v>2</v>
      </c>
      <c r="E160" s="19" t="s">
        <v>2</v>
      </c>
      <c r="F160" s="19" t="s">
        <v>634</v>
      </c>
      <c r="G160" s="19" t="s">
        <v>635</v>
      </c>
      <c r="H160" s="19" t="s">
        <v>636</v>
      </c>
      <c r="I160" s="19" t="s">
        <v>637</v>
      </c>
      <c r="J160" s="2" t="s">
        <v>2</v>
      </c>
      <c r="K160" s="20">
        <v>45565</v>
      </c>
      <c r="L160" s="20">
        <v>45566</v>
      </c>
      <c r="M160" s="22">
        <v>84</v>
      </c>
      <c r="N160" s="21">
        <v>75000</v>
      </c>
      <c r="O160" s="2" t="s">
        <v>76</v>
      </c>
      <c r="P160" s="2" t="s">
        <v>4</v>
      </c>
      <c r="Q160" s="2" t="s">
        <v>5</v>
      </c>
      <c r="R160" s="21">
        <f t="shared" si="18"/>
        <v>75000</v>
      </c>
      <c r="S160" s="21">
        <v>75000</v>
      </c>
      <c r="T160" s="5">
        <f t="shared" si="19"/>
        <v>15000</v>
      </c>
      <c r="V160">
        <f t="shared" si="20"/>
        <v>9</v>
      </c>
      <c r="W160">
        <f t="shared" si="21"/>
        <v>9</v>
      </c>
      <c r="X160" s="5">
        <f t="shared" si="22"/>
        <v>0</v>
      </c>
      <c r="Y160" s="2" t="s">
        <v>6</v>
      </c>
      <c r="Z160" s="2" t="s">
        <v>2</v>
      </c>
      <c r="AA160">
        <v>765</v>
      </c>
      <c r="AC160">
        <f t="shared" si="23"/>
        <v>2024</v>
      </c>
      <c r="AD160">
        <f t="shared" si="24"/>
        <v>2024</v>
      </c>
      <c r="AE160">
        <f t="shared" si="25"/>
        <v>2024</v>
      </c>
      <c r="AF160">
        <f t="shared" si="26"/>
        <v>10</v>
      </c>
    </row>
    <row r="161" spans="1:32" x14ac:dyDescent="0.25">
      <c r="A161" s="59">
        <v>45566</v>
      </c>
      <c r="B161" s="2">
        <v>1147</v>
      </c>
      <c r="C161" s="19" t="s">
        <v>373</v>
      </c>
      <c r="D161" s="19" t="s">
        <v>2</v>
      </c>
      <c r="E161" s="19" t="s">
        <v>2</v>
      </c>
      <c r="F161" s="19" t="s">
        <v>273</v>
      </c>
      <c r="G161" s="19" t="s">
        <v>352</v>
      </c>
      <c r="H161" s="19" t="s">
        <v>638</v>
      </c>
      <c r="I161" s="19" t="s">
        <v>639</v>
      </c>
      <c r="J161" s="2" t="s">
        <v>2</v>
      </c>
      <c r="K161" s="20">
        <v>45573</v>
      </c>
      <c r="L161" s="20">
        <v>45572</v>
      </c>
      <c r="M161" s="22">
        <v>200</v>
      </c>
      <c r="N161" s="21">
        <v>198500</v>
      </c>
      <c r="O161" s="2" t="s">
        <v>76</v>
      </c>
      <c r="P161" s="2" t="s">
        <v>4</v>
      </c>
      <c r="Q161" s="2" t="s">
        <v>5</v>
      </c>
      <c r="R161" s="21">
        <f t="shared" si="18"/>
        <v>198500</v>
      </c>
      <c r="S161" s="21">
        <v>198500</v>
      </c>
      <c r="T161" s="5">
        <f t="shared" si="19"/>
        <v>15000</v>
      </c>
      <c r="V161">
        <f t="shared" si="20"/>
        <v>10</v>
      </c>
      <c r="W161">
        <f t="shared" si="21"/>
        <v>10</v>
      </c>
      <c r="X161" s="5">
        <f t="shared" si="22"/>
        <v>0</v>
      </c>
      <c r="Y161" s="2" t="s">
        <v>6</v>
      </c>
      <c r="Z161" s="2" t="s">
        <v>2</v>
      </c>
      <c r="AA161">
        <v>768</v>
      </c>
      <c r="AC161">
        <f t="shared" si="23"/>
        <v>2024</v>
      </c>
      <c r="AD161">
        <f t="shared" si="24"/>
        <v>2024</v>
      </c>
      <c r="AE161">
        <f t="shared" si="25"/>
        <v>2024</v>
      </c>
      <c r="AF161">
        <f t="shared" si="26"/>
        <v>10</v>
      </c>
    </row>
    <row r="162" spans="1:32" x14ac:dyDescent="0.25">
      <c r="A162" s="59">
        <v>45568</v>
      </c>
      <c r="B162" s="2">
        <v>1148</v>
      </c>
      <c r="C162" s="19" t="s">
        <v>497</v>
      </c>
      <c r="D162" s="19" t="s">
        <v>2</v>
      </c>
      <c r="E162" s="19" t="s">
        <v>2</v>
      </c>
      <c r="F162" s="19" t="s">
        <v>168</v>
      </c>
      <c r="G162" s="19" t="s">
        <v>397</v>
      </c>
      <c r="H162" s="19" t="s">
        <v>398</v>
      </c>
      <c r="I162" s="19" t="s">
        <v>640</v>
      </c>
      <c r="J162" s="2" t="s">
        <v>2</v>
      </c>
      <c r="K162" s="20">
        <v>45588</v>
      </c>
      <c r="L162" s="20">
        <v>45588</v>
      </c>
      <c r="M162" s="22">
        <v>490</v>
      </c>
      <c r="N162" s="21">
        <v>485650</v>
      </c>
      <c r="O162" s="2" t="s">
        <v>76</v>
      </c>
      <c r="P162" s="2" t="s">
        <v>4</v>
      </c>
      <c r="Q162" s="2" t="s">
        <v>5</v>
      </c>
      <c r="R162" s="21">
        <f t="shared" si="18"/>
        <v>485650</v>
      </c>
      <c r="S162" s="21">
        <v>485650</v>
      </c>
      <c r="T162" s="5">
        <f t="shared" si="19"/>
        <v>15000</v>
      </c>
      <c r="V162">
        <f t="shared" si="20"/>
        <v>10</v>
      </c>
      <c r="W162">
        <f t="shared" si="21"/>
        <v>10</v>
      </c>
      <c r="X162" s="5">
        <f t="shared" si="22"/>
        <v>0</v>
      </c>
      <c r="Y162" s="2" t="s">
        <v>6</v>
      </c>
      <c r="Z162" s="2" t="s">
        <v>2</v>
      </c>
      <c r="AA162">
        <v>774</v>
      </c>
      <c r="AC162">
        <f t="shared" si="23"/>
        <v>2024</v>
      </c>
      <c r="AD162">
        <f t="shared" si="24"/>
        <v>2024</v>
      </c>
      <c r="AE162">
        <f t="shared" si="25"/>
        <v>2024</v>
      </c>
      <c r="AF162">
        <f t="shared" si="26"/>
        <v>10</v>
      </c>
    </row>
    <row r="163" spans="1:32" x14ac:dyDescent="0.25">
      <c r="A163" s="59">
        <v>45569</v>
      </c>
      <c r="B163" s="2">
        <v>1149</v>
      </c>
      <c r="C163" s="19" t="s">
        <v>641</v>
      </c>
      <c r="D163" s="19" t="s">
        <v>2</v>
      </c>
      <c r="E163" s="19" t="s">
        <v>2</v>
      </c>
      <c r="F163" s="19" t="s">
        <v>595</v>
      </c>
      <c r="G163" s="19" t="s">
        <v>352</v>
      </c>
      <c r="H163" s="19" t="s">
        <v>432</v>
      </c>
      <c r="I163" s="19" t="s">
        <v>642</v>
      </c>
      <c r="J163" s="2" t="s">
        <v>2</v>
      </c>
      <c r="K163" s="20">
        <v>45569</v>
      </c>
      <c r="L163" s="20">
        <v>45572</v>
      </c>
      <c r="M163" s="22">
        <v>160</v>
      </c>
      <c r="N163" s="21">
        <v>159500</v>
      </c>
      <c r="O163" s="2" t="s">
        <v>76</v>
      </c>
      <c r="P163" s="2" t="s">
        <v>4</v>
      </c>
      <c r="Q163" s="2" t="s">
        <v>5</v>
      </c>
      <c r="R163" s="21">
        <f t="shared" si="18"/>
        <v>159500</v>
      </c>
      <c r="S163" s="21">
        <v>159500</v>
      </c>
      <c r="T163" s="5">
        <f t="shared" si="19"/>
        <v>15000</v>
      </c>
      <c r="V163">
        <f t="shared" si="20"/>
        <v>10</v>
      </c>
      <c r="W163">
        <f t="shared" si="21"/>
        <v>10</v>
      </c>
      <c r="X163" s="5">
        <f t="shared" si="22"/>
        <v>0</v>
      </c>
      <c r="Y163" s="2" t="s">
        <v>6</v>
      </c>
      <c r="Z163" s="2" t="s">
        <v>2</v>
      </c>
      <c r="AA163">
        <v>766</v>
      </c>
      <c r="AC163">
        <f t="shared" si="23"/>
        <v>2024</v>
      </c>
      <c r="AD163">
        <f t="shared" si="24"/>
        <v>2024</v>
      </c>
      <c r="AE163">
        <f t="shared" si="25"/>
        <v>2024</v>
      </c>
      <c r="AF163">
        <f t="shared" si="26"/>
        <v>10</v>
      </c>
    </row>
    <row r="164" spans="1:32" x14ac:dyDescent="0.25">
      <c r="A164" s="59">
        <v>45575</v>
      </c>
      <c r="B164" s="2">
        <v>1150</v>
      </c>
      <c r="C164" s="19" t="s">
        <v>643</v>
      </c>
      <c r="D164" s="19" t="s">
        <v>2</v>
      </c>
      <c r="E164" s="19" t="s">
        <v>2</v>
      </c>
      <c r="F164" s="19" t="s">
        <v>644</v>
      </c>
      <c r="G164" s="19" t="s">
        <v>645</v>
      </c>
      <c r="H164" s="19" t="s">
        <v>646</v>
      </c>
      <c r="I164" s="19" t="s">
        <v>647</v>
      </c>
      <c r="J164" s="2" t="s">
        <v>2</v>
      </c>
      <c r="K164" s="20">
        <v>45575</v>
      </c>
      <c r="L164" s="20">
        <v>45576</v>
      </c>
      <c r="M164" s="22">
        <v>85</v>
      </c>
      <c r="N164" s="21">
        <v>85600</v>
      </c>
      <c r="O164" s="2" t="s">
        <v>76</v>
      </c>
      <c r="P164" s="2" t="s">
        <v>4</v>
      </c>
      <c r="Q164" s="2" t="s">
        <v>5</v>
      </c>
      <c r="R164" s="21">
        <f t="shared" si="18"/>
        <v>85600</v>
      </c>
      <c r="S164" s="21">
        <v>85600</v>
      </c>
      <c r="T164" s="5">
        <f t="shared" si="19"/>
        <v>15000</v>
      </c>
      <c r="V164">
        <f t="shared" si="20"/>
        <v>10</v>
      </c>
      <c r="W164">
        <f t="shared" si="21"/>
        <v>10</v>
      </c>
      <c r="X164" s="5">
        <f t="shared" si="22"/>
        <v>0</v>
      </c>
      <c r="Y164" s="2" t="s">
        <v>6</v>
      </c>
      <c r="Z164" s="2" t="s">
        <v>2</v>
      </c>
      <c r="AC164">
        <f t="shared" si="23"/>
        <v>2024</v>
      </c>
      <c r="AD164">
        <f t="shared" si="24"/>
        <v>2024</v>
      </c>
      <c r="AE164">
        <f t="shared" si="25"/>
        <v>2024</v>
      </c>
      <c r="AF164">
        <f t="shared" si="26"/>
        <v>10</v>
      </c>
    </row>
    <row r="165" spans="1:32" x14ac:dyDescent="0.25">
      <c r="A165" s="59">
        <v>45579</v>
      </c>
      <c r="B165" s="2">
        <v>1151</v>
      </c>
      <c r="C165" s="19" t="s">
        <v>219</v>
      </c>
      <c r="D165" s="19" t="s">
        <v>2</v>
      </c>
      <c r="E165" s="19" t="s">
        <v>2</v>
      </c>
      <c r="F165" s="19" t="s">
        <v>648</v>
      </c>
      <c r="G165" s="19" t="s">
        <v>649</v>
      </c>
      <c r="H165" s="19" t="s">
        <v>650</v>
      </c>
      <c r="I165" s="19" t="s">
        <v>651</v>
      </c>
      <c r="J165" s="2" t="s">
        <v>2</v>
      </c>
      <c r="K165" s="20">
        <v>45579</v>
      </c>
      <c r="L165" s="20">
        <v>45600</v>
      </c>
      <c r="M165" s="22">
        <v>78</v>
      </c>
      <c r="N165" s="21">
        <v>78750</v>
      </c>
      <c r="O165" s="2" t="s">
        <v>76</v>
      </c>
      <c r="P165" s="2" t="s">
        <v>4</v>
      </c>
      <c r="Q165" s="2" t="s">
        <v>5</v>
      </c>
      <c r="R165" s="21">
        <f t="shared" si="18"/>
        <v>78750</v>
      </c>
      <c r="S165" s="21">
        <v>78750</v>
      </c>
      <c r="T165" s="5">
        <f t="shared" si="19"/>
        <v>15000</v>
      </c>
      <c r="V165">
        <f t="shared" si="20"/>
        <v>10</v>
      </c>
      <c r="W165">
        <f t="shared" si="21"/>
        <v>10</v>
      </c>
      <c r="X165" s="5">
        <f t="shared" si="22"/>
        <v>0</v>
      </c>
      <c r="Y165" s="2" t="s">
        <v>6</v>
      </c>
      <c r="Z165" s="2" t="s">
        <v>2</v>
      </c>
      <c r="AA165">
        <v>791</v>
      </c>
      <c r="AC165">
        <f t="shared" si="23"/>
        <v>2024</v>
      </c>
      <c r="AD165">
        <f t="shared" si="24"/>
        <v>2024</v>
      </c>
      <c r="AE165">
        <f t="shared" si="25"/>
        <v>2024</v>
      </c>
      <c r="AF165">
        <f t="shared" si="26"/>
        <v>11</v>
      </c>
    </row>
    <row r="166" spans="1:32" x14ac:dyDescent="0.25">
      <c r="A166" s="59">
        <v>45579</v>
      </c>
      <c r="B166" s="2">
        <v>1152</v>
      </c>
      <c r="C166" s="19" t="s">
        <v>652</v>
      </c>
      <c r="D166" s="19" t="s">
        <v>2</v>
      </c>
      <c r="E166" s="19" t="s">
        <v>2</v>
      </c>
      <c r="F166" s="19" t="s">
        <v>450</v>
      </c>
      <c r="G166" s="19" t="s">
        <v>552</v>
      </c>
      <c r="H166" s="19" t="s">
        <v>653</v>
      </c>
      <c r="I166" s="19" t="s">
        <v>554</v>
      </c>
      <c r="J166" s="2" t="s">
        <v>2</v>
      </c>
      <c r="K166" s="20">
        <v>45602</v>
      </c>
      <c r="L166" s="20">
        <v>45588</v>
      </c>
      <c r="M166" s="22">
        <v>90</v>
      </c>
      <c r="N166" s="21">
        <v>83500</v>
      </c>
      <c r="O166" s="2" t="s">
        <v>76</v>
      </c>
      <c r="P166" s="2" t="s">
        <v>4</v>
      </c>
      <c r="Q166" s="2" t="s">
        <v>5</v>
      </c>
      <c r="R166" s="21">
        <f t="shared" si="18"/>
        <v>83500</v>
      </c>
      <c r="S166" s="21">
        <v>83500</v>
      </c>
      <c r="T166" s="5">
        <f t="shared" si="19"/>
        <v>15000</v>
      </c>
      <c r="V166">
        <f t="shared" si="20"/>
        <v>11</v>
      </c>
      <c r="W166">
        <f t="shared" si="21"/>
        <v>10</v>
      </c>
      <c r="X166" s="5">
        <f t="shared" si="22"/>
        <v>0</v>
      </c>
      <c r="Y166" s="2" t="s">
        <v>6</v>
      </c>
      <c r="Z166" s="2" t="s">
        <v>2</v>
      </c>
      <c r="AA166">
        <v>777</v>
      </c>
      <c r="AC166">
        <f t="shared" si="23"/>
        <v>2024</v>
      </c>
      <c r="AD166">
        <f t="shared" si="24"/>
        <v>2024</v>
      </c>
      <c r="AE166">
        <f t="shared" si="25"/>
        <v>2024</v>
      </c>
      <c r="AF166">
        <f t="shared" si="26"/>
        <v>10</v>
      </c>
    </row>
    <row r="167" spans="1:32" x14ac:dyDescent="0.25">
      <c r="A167" s="59">
        <v>45580</v>
      </c>
      <c r="B167" s="2">
        <v>1153</v>
      </c>
      <c r="C167" s="19" t="s">
        <v>654</v>
      </c>
      <c r="D167" s="19" t="s">
        <v>2</v>
      </c>
      <c r="E167" s="19" t="s">
        <v>2</v>
      </c>
      <c r="F167" s="19" t="s">
        <v>655</v>
      </c>
      <c r="G167" s="19" t="s">
        <v>656</v>
      </c>
      <c r="H167" s="19" t="s">
        <v>657</v>
      </c>
      <c r="I167" s="19" t="s">
        <v>658</v>
      </c>
      <c r="J167" s="2" t="s">
        <v>2</v>
      </c>
      <c r="K167" s="20">
        <v>45595</v>
      </c>
      <c r="L167" s="20">
        <v>45588</v>
      </c>
      <c r="M167" s="22">
        <v>148</v>
      </c>
      <c r="N167" s="21">
        <v>154400</v>
      </c>
      <c r="O167" s="2" t="s">
        <v>76</v>
      </c>
      <c r="P167" s="2" t="s">
        <v>4</v>
      </c>
      <c r="Q167" s="2" t="s">
        <v>5</v>
      </c>
      <c r="R167" s="21">
        <f t="shared" si="18"/>
        <v>154400</v>
      </c>
      <c r="S167" s="21">
        <v>154400</v>
      </c>
      <c r="T167" s="5">
        <f t="shared" si="19"/>
        <v>15000</v>
      </c>
      <c r="V167">
        <f t="shared" si="20"/>
        <v>10</v>
      </c>
      <c r="W167">
        <f t="shared" si="21"/>
        <v>10</v>
      </c>
      <c r="X167" s="5">
        <f t="shared" si="22"/>
        <v>0</v>
      </c>
      <c r="Y167" s="2" t="s">
        <v>6</v>
      </c>
      <c r="Z167" s="2" t="s">
        <v>2</v>
      </c>
      <c r="AA167">
        <v>775</v>
      </c>
      <c r="AC167">
        <f t="shared" si="23"/>
        <v>2024</v>
      </c>
      <c r="AD167">
        <f t="shared" si="24"/>
        <v>2024</v>
      </c>
      <c r="AE167">
        <f t="shared" si="25"/>
        <v>2024</v>
      </c>
      <c r="AF167">
        <f t="shared" si="26"/>
        <v>10</v>
      </c>
    </row>
    <row r="168" spans="1:32" x14ac:dyDescent="0.25">
      <c r="A168" s="59">
        <v>45580</v>
      </c>
      <c r="B168" s="2">
        <v>1154</v>
      </c>
      <c r="C168" s="19" t="s">
        <v>654</v>
      </c>
      <c r="D168" s="19" t="s">
        <v>2</v>
      </c>
      <c r="E168" s="19" t="s">
        <v>2</v>
      </c>
      <c r="F168" s="19" t="s">
        <v>659</v>
      </c>
      <c r="G168" s="19" t="s">
        <v>660</v>
      </c>
      <c r="H168" s="19" t="s">
        <v>661</v>
      </c>
      <c r="I168" s="19" t="s">
        <v>662</v>
      </c>
      <c r="J168" s="2" t="s">
        <v>2</v>
      </c>
      <c r="K168" s="20">
        <v>45595</v>
      </c>
      <c r="L168" s="20">
        <v>45588</v>
      </c>
      <c r="M168" s="22">
        <v>145</v>
      </c>
      <c r="N168" s="21">
        <v>145600</v>
      </c>
      <c r="O168" s="2" t="s">
        <v>76</v>
      </c>
      <c r="P168" s="2" t="s">
        <v>4</v>
      </c>
      <c r="Q168" s="2" t="s">
        <v>5</v>
      </c>
      <c r="R168" s="21">
        <f t="shared" si="18"/>
        <v>145600</v>
      </c>
      <c r="S168" s="21">
        <v>145600</v>
      </c>
      <c r="T168" s="5">
        <f t="shared" si="19"/>
        <v>15000</v>
      </c>
      <c r="V168">
        <f t="shared" si="20"/>
        <v>10</v>
      </c>
      <c r="W168">
        <f t="shared" si="21"/>
        <v>10</v>
      </c>
      <c r="X168" s="5">
        <f t="shared" si="22"/>
        <v>0</v>
      </c>
      <c r="Y168" s="2" t="s">
        <v>6</v>
      </c>
      <c r="Z168" s="2" t="s">
        <v>2</v>
      </c>
      <c r="AA168">
        <v>775</v>
      </c>
      <c r="AC168">
        <f t="shared" si="23"/>
        <v>2024</v>
      </c>
      <c r="AD168">
        <f t="shared" si="24"/>
        <v>2024</v>
      </c>
      <c r="AE168">
        <f t="shared" si="25"/>
        <v>2024</v>
      </c>
      <c r="AF168">
        <f t="shared" si="26"/>
        <v>10</v>
      </c>
    </row>
    <row r="169" spans="1:32" x14ac:dyDescent="0.25">
      <c r="A169" s="59">
        <v>45583</v>
      </c>
      <c r="B169" s="2">
        <v>1155</v>
      </c>
      <c r="C169" s="19" t="s">
        <v>594</v>
      </c>
      <c r="D169" s="19" t="s">
        <v>2</v>
      </c>
      <c r="E169" s="19" t="s">
        <v>2</v>
      </c>
      <c r="F169" s="19" t="s">
        <v>400</v>
      </c>
      <c r="G169" s="19" t="s">
        <v>352</v>
      </c>
      <c r="H169" s="19" t="s">
        <v>432</v>
      </c>
      <c r="I169" s="19" t="s">
        <v>663</v>
      </c>
      <c r="J169" s="2" t="s">
        <v>2</v>
      </c>
      <c r="K169" s="20">
        <v>45583</v>
      </c>
      <c r="L169" s="20">
        <v>45583</v>
      </c>
      <c r="M169" s="22">
        <v>152</v>
      </c>
      <c r="N169" s="21">
        <v>152500</v>
      </c>
      <c r="O169" s="2" t="s">
        <v>76</v>
      </c>
      <c r="P169" s="2" t="s">
        <v>4</v>
      </c>
      <c r="Q169" s="2" t="s">
        <v>5</v>
      </c>
      <c r="R169" s="21">
        <f t="shared" si="18"/>
        <v>152500</v>
      </c>
      <c r="S169" s="21">
        <v>152500</v>
      </c>
      <c r="T169" s="5">
        <f t="shared" si="19"/>
        <v>15000</v>
      </c>
      <c r="V169">
        <f t="shared" si="20"/>
        <v>10</v>
      </c>
      <c r="W169">
        <f t="shared" si="21"/>
        <v>10</v>
      </c>
      <c r="X169" s="5">
        <f t="shared" si="22"/>
        <v>0</v>
      </c>
      <c r="Y169" s="2" t="s">
        <v>6</v>
      </c>
      <c r="Z169" s="2" t="s">
        <v>2</v>
      </c>
      <c r="AA169">
        <v>772</v>
      </c>
      <c r="AC169">
        <f t="shared" si="23"/>
        <v>2024</v>
      </c>
      <c r="AD169">
        <f t="shared" si="24"/>
        <v>2024</v>
      </c>
      <c r="AE169">
        <f t="shared" si="25"/>
        <v>2024</v>
      </c>
      <c r="AF169">
        <f t="shared" si="26"/>
        <v>10</v>
      </c>
    </row>
    <row r="170" spans="1:32" x14ac:dyDescent="0.25">
      <c r="A170" s="59">
        <v>45586</v>
      </c>
      <c r="B170" s="2">
        <v>1156</v>
      </c>
      <c r="C170" s="19" t="s">
        <v>537</v>
      </c>
      <c r="D170" s="19" t="s">
        <v>2</v>
      </c>
      <c r="E170" s="19" t="s">
        <v>2</v>
      </c>
      <c r="F170" s="19" t="s">
        <v>664</v>
      </c>
      <c r="G170" s="19" t="s">
        <v>665</v>
      </c>
      <c r="H170" s="19" t="s">
        <v>666</v>
      </c>
      <c r="I170" s="19" t="s">
        <v>667</v>
      </c>
      <c r="J170" s="2" t="s">
        <v>2</v>
      </c>
      <c r="K170" s="20">
        <v>45586</v>
      </c>
      <c r="L170" s="20">
        <v>45588</v>
      </c>
      <c r="M170" s="22">
        <v>127</v>
      </c>
      <c r="N170" s="21">
        <v>127500</v>
      </c>
      <c r="O170" s="2" t="s">
        <v>76</v>
      </c>
      <c r="P170" s="2" t="s">
        <v>4</v>
      </c>
      <c r="Q170" s="2" t="s">
        <v>5</v>
      </c>
      <c r="R170" s="21">
        <f t="shared" si="18"/>
        <v>127500</v>
      </c>
      <c r="S170" s="21">
        <v>127500</v>
      </c>
      <c r="T170" s="5">
        <f t="shared" si="19"/>
        <v>15000</v>
      </c>
      <c r="V170">
        <f t="shared" si="20"/>
        <v>10</v>
      </c>
      <c r="W170">
        <f t="shared" si="21"/>
        <v>10</v>
      </c>
      <c r="X170" s="5">
        <f t="shared" si="22"/>
        <v>0</v>
      </c>
      <c r="Y170" s="2" t="s">
        <v>6</v>
      </c>
      <c r="Z170" s="2" t="s">
        <v>2</v>
      </c>
      <c r="AA170">
        <v>773</v>
      </c>
      <c r="AC170">
        <f t="shared" si="23"/>
        <v>2024</v>
      </c>
      <c r="AD170">
        <f t="shared" si="24"/>
        <v>2024</v>
      </c>
      <c r="AE170">
        <f t="shared" si="25"/>
        <v>2024</v>
      </c>
      <c r="AF170">
        <f t="shared" si="26"/>
        <v>10</v>
      </c>
    </row>
    <row r="171" spans="1:32" x14ac:dyDescent="0.25">
      <c r="A171" s="59">
        <v>45587</v>
      </c>
      <c r="B171" s="2">
        <v>1157</v>
      </c>
      <c r="C171" s="19" t="s">
        <v>99</v>
      </c>
      <c r="D171" s="19" t="s">
        <v>2</v>
      </c>
      <c r="E171" s="19" t="s">
        <v>2</v>
      </c>
      <c r="F171" s="19" t="s">
        <v>668</v>
      </c>
      <c r="G171" s="19" t="s">
        <v>669</v>
      </c>
      <c r="H171" s="19" t="s">
        <v>670</v>
      </c>
      <c r="I171" s="19" t="s">
        <v>671</v>
      </c>
      <c r="J171" s="2" t="s">
        <v>2</v>
      </c>
      <c r="K171" s="20">
        <v>45588</v>
      </c>
      <c r="L171" s="20">
        <v>45588</v>
      </c>
      <c r="M171" s="22">
        <v>50</v>
      </c>
      <c r="N171" s="21">
        <v>55300</v>
      </c>
      <c r="O171" s="2" t="s">
        <v>76</v>
      </c>
      <c r="P171" s="2" t="s">
        <v>4</v>
      </c>
      <c r="Q171" s="2" t="s">
        <v>5</v>
      </c>
      <c r="R171" s="21">
        <f t="shared" si="18"/>
        <v>55300</v>
      </c>
      <c r="S171" s="21">
        <v>55300</v>
      </c>
      <c r="T171" s="5">
        <f t="shared" si="19"/>
        <v>15000</v>
      </c>
      <c r="V171">
        <f t="shared" si="20"/>
        <v>10</v>
      </c>
      <c r="W171">
        <f t="shared" si="21"/>
        <v>10</v>
      </c>
      <c r="X171" s="5">
        <f t="shared" si="22"/>
        <v>0</v>
      </c>
      <c r="Y171" s="2" t="s">
        <v>6</v>
      </c>
      <c r="Z171" s="2" t="s">
        <v>2</v>
      </c>
      <c r="AA171">
        <v>776</v>
      </c>
      <c r="AC171">
        <f t="shared" si="23"/>
        <v>2024</v>
      </c>
      <c r="AD171">
        <f t="shared" si="24"/>
        <v>2024</v>
      </c>
      <c r="AE171">
        <f t="shared" si="25"/>
        <v>2024</v>
      </c>
      <c r="AF171">
        <f t="shared" si="26"/>
        <v>10</v>
      </c>
    </row>
    <row r="172" spans="1:32" x14ac:dyDescent="0.25">
      <c r="A172" s="59">
        <v>45588</v>
      </c>
      <c r="B172" s="2">
        <v>1158</v>
      </c>
      <c r="C172" s="19" t="s">
        <v>219</v>
      </c>
      <c r="D172" s="19" t="s">
        <v>2</v>
      </c>
      <c r="E172" s="19" t="s">
        <v>2</v>
      </c>
      <c r="F172" s="19" t="s">
        <v>672</v>
      </c>
      <c r="G172" s="19" t="s">
        <v>673</v>
      </c>
      <c r="H172" s="19" t="s">
        <v>674</v>
      </c>
      <c r="I172" s="19" t="s">
        <v>675</v>
      </c>
      <c r="J172" s="2" t="s">
        <v>2</v>
      </c>
      <c r="K172" s="20">
        <v>45588</v>
      </c>
      <c r="L172" s="20">
        <v>45622</v>
      </c>
      <c r="M172" s="22">
        <v>0</v>
      </c>
      <c r="N172" s="21">
        <v>0</v>
      </c>
      <c r="O172" s="2" t="s">
        <v>3</v>
      </c>
      <c r="P172" s="2" t="s">
        <v>321</v>
      </c>
      <c r="Q172" s="2" t="s">
        <v>5</v>
      </c>
      <c r="R172" s="21">
        <f t="shared" si="18"/>
        <v>0</v>
      </c>
      <c r="S172" s="21">
        <v>0</v>
      </c>
      <c r="T172" s="5">
        <f t="shared" si="19"/>
        <v>15000</v>
      </c>
      <c r="V172">
        <f t="shared" si="20"/>
        <v>10</v>
      </c>
      <c r="W172">
        <f t="shared" si="21"/>
        <v>10</v>
      </c>
      <c r="X172" s="5">
        <f t="shared" si="22"/>
        <v>0</v>
      </c>
      <c r="Y172" s="2" t="s">
        <v>6</v>
      </c>
      <c r="Z172" s="2" t="s">
        <v>2</v>
      </c>
      <c r="AA172">
        <v>791</v>
      </c>
      <c r="AC172">
        <f t="shared" si="23"/>
        <v>2024</v>
      </c>
      <c r="AD172">
        <f t="shared" si="24"/>
        <v>2024</v>
      </c>
      <c r="AE172">
        <f t="shared" si="25"/>
        <v>2024</v>
      </c>
      <c r="AF172">
        <f t="shared" si="26"/>
        <v>11</v>
      </c>
    </row>
    <row r="173" spans="1:32" x14ac:dyDescent="0.25">
      <c r="A173" s="59">
        <v>45595</v>
      </c>
      <c r="B173" s="2">
        <v>1159</v>
      </c>
      <c r="C173" s="19" t="s">
        <v>1</v>
      </c>
      <c r="D173" s="19" t="s">
        <v>2</v>
      </c>
      <c r="E173" s="19" t="s">
        <v>2</v>
      </c>
      <c r="F173" s="19" t="s">
        <v>676</v>
      </c>
      <c r="G173" s="19" t="s">
        <v>677</v>
      </c>
      <c r="H173" s="19" t="s">
        <v>678</v>
      </c>
      <c r="I173" s="19" t="s">
        <v>679</v>
      </c>
      <c r="J173" s="2" t="s">
        <v>2</v>
      </c>
      <c r="K173" s="20">
        <v>45693</v>
      </c>
      <c r="L173" s="20">
        <v>45693</v>
      </c>
      <c r="M173" s="22">
        <v>590</v>
      </c>
      <c r="N173" s="21">
        <v>595900</v>
      </c>
      <c r="O173" s="2" t="s">
        <v>3</v>
      </c>
      <c r="P173" s="2" t="s">
        <v>146</v>
      </c>
      <c r="Q173" s="2" t="s">
        <v>147</v>
      </c>
      <c r="R173" s="21">
        <f t="shared" si="18"/>
        <v>0</v>
      </c>
      <c r="S173" s="21">
        <v>0</v>
      </c>
      <c r="T173" s="5">
        <f t="shared" si="19"/>
        <v>15000</v>
      </c>
      <c r="V173">
        <f t="shared" si="20"/>
        <v>2</v>
      </c>
      <c r="W173">
        <f t="shared" si="21"/>
        <v>10</v>
      </c>
      <c r="X173" s="5">
        <f t="shared" si="22"/>
        <v>0</v>
      </c>
      <c r="Y173" s="2" t="s">
        <v>6</v>
      </c>
      <c r="Z173" s="2" t="s">
        <v>2</v>
      </c>
      <c r="AC173">
        <f t="shared" si="23"/>
        <v>2025</v>
      </c>
      <c r="AD173">
        <f t="shared" si="24"/>
        <v>2024</v>
      </c>
      <c r="AE173">
        <f t="shared" si="25"/>
        <v>2025</v>
      </c>
      <c r="AF173">
        <f t="shared" si="26"/>
        <v>2</v>
      </c>
    </row>
    <row r="174" spans="1:32" x14ac:dyDescent="0.25">
      <c r="A174" s="59">
        <v>45595</v>
      </c>
      <c r="B174" s="2">
        <v>1160</v>
      </c>
      <c r="C174" s="19" t="s">
        <v>680</v>
      </c>
      <c r="D174" s="19" t="s">
        <v>2</v>
      </c>
      <c r="E174" s="19" t="s">
        <v>2</v>
      </c>
      <c r="F174" s="19" t="s">
        <v>681</v>
      </c>
      <c r="G174" s="19" t="s">
        <v>682</v>
      </c>
      <c r="H174" s="19" t="s">
        <v>683</v>
      </c>
      <c r="I174" s="19" t="s">
        <v>684</v>
      </c>
      <c r="J174" s="2" t="s">
        <v>2</v>
      </c>
      <c r="K174" s="20">
        <v>45595</v>
      </c>
      <c r="L174" s="20">
        <v>45603</v>
      </c>
      <c r="M174" s="22">
        <v>410</v>
      </c>
      <c r="N174" s="21">
        <v>414100</v>
      </c>
      <c r="O174" s="2" t="s">
        <v>76</v>
      </c>
      <c r="P174" s="2" t="s">
        <v>4</v>
      </c>
      <c r="Q174" s="2" t="s">
        <v>5</v>
      </c>
      <c r="R174" s="21">
        <f t="shared" si="18"/>
        <v>414100</v>
      </c>
      <c r="S174" s="21">
        <v>414100</v>
      </c>
      <c r="T174" s="5">
        <f t="shared" si="19"/>
        <v>15000</v>
      </c>
      <c r="V174">
        <f t="shared" si="20"/>
        <v>10</v>
      </c>
      <c r="W174">
        <f t="shared" si="21"/>
        <v>10</v>
      </c>
      <c r="X174" s="5">
        <f t="shared" si="22"/>
        <v>0</v>
      </c>
      <c r="Y174" s="2" t="s">
        <v>6</v>
      </c>
      <c r="Z174" s="2" t="s">
        <v>2</v>
      </c>
      <c r="AA174">
        <v>779</v>
      </c>
      <c r="AC174">
        <f t="shared" si="23"/>
        <v>2024</v>
      </c>
      <c r="AD174">
        <f t="shared" si="24"/>
        <v>2024</v>
      </c>
      <c r="AE174">
        <f t="shared" si="25"/>
        <v>2024</v>
      </c>
      <c r="AF174">
        <f t="shared" si="26"/>
        <v>11</v>
      </c>
    </row>
    <row r="175" spans="1:32" x14ac:dyDescent="0.25">
      <c r="A175" s="59">
        <v>45597</v>
      </c>
      <c r="B175" s="2">
        <v>1161</v>
      </c>
      <c r="C175" s="19" t="s">
        <v>82</v>
      </c>
      <c r="D175" s="19" t="s">
        <v>2</v>
      </c>
      <c r="E175" s="19" t="s">
        <v>2</v>
      </c>
      <c r="F175" s="19" t="s">
        <v>685</v>
      </c>
      <c r="G175" s="19" t="s">
        <v>370</v>
      </c>
      <c r="H175" s="19" t="s">
        <v>686</v>
      </c>
      <c r="I175" s="19" t="s">
        <v>687</v>
      </c>
      <c r="J175" s="2" t="s">
        <v>2</v>
      </c>
      <c r="K175" s="20">
        <v>45667</v>
      </c>
      <c r="L175" s="20">
        <v>45667</v>
      </c>
      <c r="M175" s="22">
        <v>190</v>
      </c>
      <c r="N175" s="21">
        <v>189500</v>
      </c>
      <c r="O175" s="2" t="s">
        <v>76</v>
      </c>
      <c r="P175" s="2" t="s">
        <v>146</v>
      </c>
      <c r="Q175" s="2" t="s">
        <v>147</v>
      </c>
      <c r="R175" s="21">
        <f t="shared" si="18"/>
        <v>0</v>
      </c>
      <c r="S175" s="21">
        <v>0</v>
      </c>
      <c r="T175" s="5">
        <f t="shared" si="19"/>
        <v>15000</v>
      </c>
      <c r="V175">
        <f t="shared" si="20"/>
        <v>1</v>
      </c>
      <c r="W175">
        <f t="shared" si="21"/>
        <v>11</v>
      </c>
      <c r="X175" s="5">
        <f t="shared" si="22"/>
        <v>0</v>
      </c>
      <c r="Y175" s="2" t="s">
        <v>6</v>
      </c>
      <c r="Z175" s="2" t="s">
        <v>2</v>
      </c>
      <c r="AC175">
        <f t="shared" si="23"/>
        <v>2025</v>
      </c>
      <c r="AD175">
        <f t="shared" si="24"/>
        <v>2024</v>
      </c>
      <c r="AE175">
        <f t="shared" si="25"/>
        <v>2025</v>
      </c>
      <c r="AF175">
        <f t="shared" si="26"/>
        <v>1</v>
      </c>
    </row>
    <row r="176" spans="1:32" x14ac:dyDescent="0.25">
      <c r="A176" s="59">
        <v>45601</v>
      </c>
      <c r="B176" s="2">
        <v>1162</v>
      </c>
      <c r="C176" s="19" t="s">
        <v>537</v>
      </c>
      <c r="D176" s="19" t="s">
        <v>2</v>
      </c>
      <c r="E176" s="19" t="s">
        <v>2</v>
      </c>
      <c r="F176" s="19" t="s">
        <v>595</v>
      </c>
      <c r="G176" s="19" t="s">
        <v>95</v>
      </c>
      <c r="H176" s="19" t="s">
        <v>322</v>
      </c>
      <c r="I176" s="19" t="s">
        <v>688</v>
      </c>
      <c r="J176" s="2" t="s">
        <v>2</v>
      </c>
      <c r="K176" s="20">
        <v>45601</v>
      </c>
      <c r="L176" s="20">
        <v>45602</v>
      </c>
      <c r="M176" s="22">
        <v>170</v>
      </c>
      <c r="N176" s="21">
        <v>172500</v>
      </c>
      <c r="O176" s="2" t="s">
        <v>76</v>
      </c>
      <c r="P176" s="2" t="s">
        <v>4</v>
      </c>
      <c r="Q176" s="2" t="s">
        <v>5</v>
      </c>
      <c r="R176" s="21">
        <f t="shared" si="18"/>
        <v>172500</v>
      </c>
      <c r="S176" s="21">
        <v>172500</v>
      </c>
      <c r="T176" s="5">
        <f t="shared" si="19"/>
        <v>15000</v>
      </c>
      <c r="V176">
        <f t="shared" si="20"/>
        <v>11</v>
      </c>
      <c r="W176">
        <f t="shared" si="21"/>
        <v>11</v>
      </c>
      <c r="X176" s="5">
        <f t="shared" si="22"/>
        <v>0</v>
      </c>
      <c r="Y176" s="2" t="s">
        <v>6</v>
      </c>
      <c r="Z176" s="2" t="s">
        <v>2</v>
      </c>
      <c r="AA176">
        <v>778</v>
      </c>
      <c r="AC176">
        <f t="shared" si="23"/>
        <v>2024</v>
      </c>
      <c r="AD176">
        <f t="shared" si="24"/>
        <v>2024</v>
      </c>
      <c r="AE176">
        <f t="shared" si="25"/>
        <v>2024</v>
      </c>
      <c r="AF176">
        <f t="shared" si="26"/>
        <v>11</v>
      </c>
    </row>
    <row r="177" spans="1:32" x14ac:dyDescent="0.25">
      <c r="A177" s="59">
        <v>45607.125</v>
      </c>
      <c r="B177" s="2">
        <v>1163</v>
      </c>
      <c r="C177" s="19" t="s">
        <v>368</v>
      </c>
      <c r="D177" s="19" t="s">
        <v>2</v>
      </c>
      <c r="E177" s="19" t="s">
        <v>2</v>
      </c>
      <c r="F177" s="19" t="s">
        <v>689</v>
      </c>
      <c r="G177" s="19" t="s">
        <v>108</v>
      </c>
      <c r="H177" s="19" t="s">
        <v>690</v>
      </c>
      <c r="I177" s="19" t="s">
        <v>691</v>
      </c>
      <c r="J177" s="2" t="s">
        <v>2</v>
      </c>
      <c r="K177" s="20">
        <v>45607.125</v>
      </c>
      <c r="L177" s="20">
        <v>45611.125</v>
      </c>
      <c r="M177" s="22">
        <v>980</v>
      </c>
      <c r="N177" s="21">
        <v>996660</v>
      </c>
      <c r="O177" s="2" t="s">
        <v>76</v>
      </c>
      <c r="P177" s="2" t="s">
        <v>4</v>
      </c>
      <c r="Q177" s="2" t="s">
        <v>5</v>
      </c>
      <c r="R177" s="21">
        <f t="shared" si="18"/>
        <v>996660</v>
      </c>
      <c r="S177" s="21">
        <v>996660</v>
      </c>
      <c r="T177" s="5">
        <f t="shared" si="19"/>
        <v>15000</v>
      </c>
      <c r="V177">
        <f t="shared" si="20"/>
        <v>11</v>
      </c>
      <c r="W177">
        <f t="shared" si="21"/>
        <v>11</v>
      </c>
      <c r="X177" s="5">
        <f t="shared" si="22"/>
        <v>0</v>
      </c>
      <c r="Y177" s="2" t="s">
        <v>6</v>
      </c>
      <c r="Z177" s="2" t="s">
        <v>2</v>
      </c>
      <c r="AA177">
        <v>789</v>
      </c>
      <c r="AC177">
        <f t="shared" si="23"/>
        <v>2024</v>
      </c>
      <c r="AD177">
        <f t="shared" si="24"/>
        <v>2024</v>
      </c>
      <c r="AE177">
        <f t="shared" si="25"/>
        <v>2024</v>
      </c>
      <c r="AF177">
        <f t="shared" si="26"/>
        <v>11</v>
      </c>
    </row>
    <row r="178" spans="1:32" x14ac:dyDescent="0.25">
      <c r="A178" s="59">
        <v>45608</v>
      </c>
      <c r="B178" s="2">
        <v>1164</v>
      </c>
      <c r="C178" s="19" t="s">
        <v>181</v>
      </c>
      <c r="D178" s="19" t="s">
        <v>2</v>
      </c>
      <c r="E178" s="19" t="s">
        <v>2</v>
      </c>
      <c r="F178" s="19" t="s">
        <v>182</v>
      </c>
      <c r="G178" s="19" t="s">
        <v>183</v>
      </c>
      <c r="H178" s="19" t="s">
        <v>184</v>
      </c>
      <c r="I178" s="19" t="s">
        <v>185</v>
      </c>
      <c r="J178" s="2" t="s">
        <v>2</v>
      </c>
      <c r="K178" s="20">
        <v>45621</v>
      </c>
      <c r="L178" s="20">
        <v>45611</v>
      </c>
      <c r="M178" s="22">
        <v>150</v>
      </c>
      <c r="N178" s="21">
        <v>152550</v>
      </c>
      <c r="O178" s="2" t="s">
        <v>76</v>
      </c>
      <c r="P178" s="2" t="s">
        <v>4</v>
      </c>
      <c r="Q178" s="2" t="s">
        <v>5</v>
      </c>
      <c r="R178" s="21">
        <f t="shared" si="18"/>
        <v>152550</v>
      </c>
      <c r="S178" s="21">
        <v>152550</v>
      </c>
      <c r="T178" s="5">
        <f t="shared" si="19"/>
        <v>15000</v>
      </c>
      <c r="V178">
        <f t="shared" si="20"/>
        <v>11</v>
      </c>
      <c r="W178">
        <f t="shared" si="21"/>
        <v>11</v>
      </c>
      <c r="X178" s="5">
        <f t="shared" si="22"/>
        <v>0</v>
      </c>
      <c r="Y178" s="2" t="s">
        <v>6</v>
      </c>
      <c r="Z178" s="2" t="s">
        <v>2</v>
      </c>
      <c r="AA178">
        <v>788</v>
      </c>
      <c r="AC178">
        <f t="shared" si="23"/>
        <v>2024</v>
      </c>
      <c r="AD178">
        <f t="shared" si="24"/>
        <v>2024</v>
      </c>
      <c r="AE178">
        <f t="shared" si="25"/>
        <v>2024</v>
      </c>
      <c r="AF178">
        <f t="shared" si="26"/>
        <v>11</v>
      </c>
    </row>
    <row r="179" spans="1:32" x14ac:dyDescent="0.25">
      <c r="A179" s="59">
        <v>45609</v>
      </c>
      <c r="B179" s="2">
        <v>1165</v>
      </c>
      <c r="C179" s="19" t="s">
        <v>692</v>
      </c>
      <c r="D179" s="19" t="s">
        <v>2</v>
      </c>
      <c r="E179" s="19" t="s">
        <v>2</v>
      </c>
      <c r="F179" s="19" t="s">
        <v>400</v>
      </c>
      <c r="G179" s="19" t="s">
        <v>281</v>
      </c>
      <c r="H179" s="19" t="s">
        <v>592</v>
      </c>
      <c r="I179" s="19" t="s">
        <v>693</v>
      </c>
      <c r="J179" s="2" t="s">
        <v>2</v>
      </c>
      <c r="K179" s="20">
        <v>45609</v>
      </c>
      <c r="L179" s="20">
        <v>45610</v>
      </c>
      <c r="M179" s="22">
        <v>225</v>
      </c>
      <c r="N179" s="21">
        <v>225600</v>
      </c>
      <c r="O179" s="2" t="s">
        <v>76</v>
      </c>
      <c r="P179" s="2" t="s">
        <v>4</v>
      </c>
      <c r="Q179" s="2" t="s">
        <v>5</v>
      </c>
      <c r="R179" s="21">
        <f t="shared" si="18"/>
        <v>225600</v>
      </c>
      <c r="S179" s="21">
        <v>225600</v>
      </c>
      <c r="T179" s="5">
        <f t="shared" si="19"/>
        <v>15000</v>
      </c>
      <c r="V179">
        <f t="shared" si="20"/>
        <v>11</v>
      </c>
      <c r="W179">
        <f t="shared" si="21"/>
        <v>11</v>
      </c>
      <c r="X179" s="5">
        <f t="shared" si="22"/>
        <v>0</v>
      </c>
      <c r="Y179" s="2" t="s">
        <v>6</v>
      </c>
      <c r="Z179" s="2" t="s">
        <v>2</v>
      </c>
      <c r="AA179">
        <v>780</v>
      </c>
      <c r="AC179">
        <f t="shared" si="23"/>
        <v>2024</v>
      </c>
      <c r="AD179">
        <f t="shared" si="24"/>
        <v>2024</v>
      </c>
      <c r="AE179">
        <f t="shared" si="25"/>
        <v>2024</v>
      </c>
      <c r="AF179">
        <f t="shared" si="26"/>
        <v>11</v>
      </c>
    </row>
    <row r="180" spans="1:32" x14ac:dyDescent="0.25">
      <c r="A180" s="59">
        <v>45610</v>
      </c>
      <c r="B180" s="2">
        <v>1166</v>
      </c>
      <c r="C180" s="19" t="s">
        <v>566</v>
      </c>
      <c r="D180" s="19" t="s">
        <v>2</v>
      </c>
      <c r="E180" s="19" t="s">
        <v>2</v>
      </c>
      <c r="F180" s="19" t="s">
        <v>400</v>
      </c>
      <c r="G180" s="19" t="s">
        <v>95</v>
      </c>
      <c r="H180" s="19" t="s">
        <v>694</v>
      </c>
      <c r="I180" s="19" t="s">
        <v>695</v>
      </c>
      <c r="J180" s="2" t="s">
        <v>2</v>
      </c>
      <c r="K180" s="20">
        <v>45611</v>
      </c>
      <c r="L180" s="20">
        <v>45611</v>
      </c>
      <c r="M180" s="22">
        <v>174</v>
      </c>
      <c r="N180" s="21">
        <v>177500</v>
      </c>
      <c r="O180" s="2" t="s">
        <v>76</v>
      </c>
      <c r="P180" s="2" t="s">
        <v>4</v>
      </c>
      <c r="Q180" s="2" t="s">
        <v>5</v>
      </c>
      <c r="R180" s="21">
        <f t="shared" si="18"/>
        <v>177500</v>
      </c>
      <c r="S180" s="21">
        <v>177500</v>
      </c>
      <c r="T180" s="5">
        <f t="shared" si="19"/>
        <v>15000</v>
      </c>
      <c r="V180">
        <f t="shared" si="20"/>
        <v>11</v>
      </c>
      <c r="W180">
        <f t="shared" si="21"/>
        <v>11</v>
      </c>
      <c r="X180" s="5">
        <f t="shared" si="22"/>
        <v>0</v>
      </c>
      <c r="Y180" s="2" t="s">
        <v>6</v>
      </c>
      <c r="Z180" s="2" t="s">
        <v>2</v>
      </c>
      <c r="AA180">
        <v>781</v>
      </c>
      <c r="AC180">
        <f t="shared" si="23"/>
        <v>2024</v>
      </c>
      <c r="AD180">
        <f t="shared" si="24"/>
        <v>2024</v>
      </c>
      <c r="AE180">
        <f t="shared" si="25"/>
        <v>2024</v>
      </c>
      <c r="AF180">
        <f t="shared" si="26"/>
        <v>11</v>
      </c>
    </row>
    <row r="181" spans="1:32" x14ac:dyDescent="0.25">
      <c r="A181" s="59">
        <v>45610</v>
      </c>
      <c r="B181" s="2">
        <v>1167</v>
      </c>
      <c r="C181" s="19" t="s">
        <v>696</v>
      </c>
      <c r="D181" s="19" t="s">
        <v>2</v>
      </c>
      <c r="E181" s="19" t="s">
        <v>2</v>
      </c>
      <c r="F181" s="19" t="s">
        <v>697</v>
      </c>
      <c r="G181" s="19" t="s">
        <v>611</v>
      </c>
      <c r="H181" s="19" t="s">
        <v>698</v>
      </c>
      <c r="I181" s="19" t="s">
        <v>699</v>
      </c>
      <c r="J181" s="2" t="s">
        <v>2</v>
      </c>
      <c r="K181" s="20">
        <v>45617</v>
      </c>
      <c r="L181" s="20">
        <v>45611</v>
      </c>
      <c r="M181" s="22">
        <v>225</v>
      </c>
      <c r="N181" s="21">
        <v>229500</v>
      </c>
      <c r="O181" s="2" t="s">
        <v>76</v>
      </c>
      <c r="P181" s="2" t="s">
        <v>4</v>
      </c>
      <c r="Q181" s="2" t="s">
        <v>5</v>
      </c>
      <c r="R181" s="21">
        <f t="shared" si="18"/>
        <v>229500</v>
      </c>
      <c r="S181" s="21">
        <v>229500</v>
      </c>
      <c r="T181" s="5">
        <f t="shared" si="19"/>
        <v>15000</v>
      </c>
      <c r="V181">
        <f t="shared" si="20"/>
        <v>11</v>
      </c>
      <c r="W181">
        <f t="shared" si="21"/>
        <v>11</v>
      </c>
      <c r="X181" s="5">
        <f t="shared" si="22"/>
        <v>0</v>
      </c>
      <c r="Y181" s="2" t="s">
        <v>6</v>
      </c>
      <c r="Z181" s="2" t="s">
        <v>2</v>
      </c>
      <c r="AA181">
        <v>786</v>
      </c>
      <c r="AC181">
        <f t="shared" si="23"/>
        <v>2024</v>
      </c>
      <c r="AD181">
        <f t="shared" si="24"/>
        <v>2024</v>
      </c>
      <c r="AE181">
        <f t="shared" si="25"/>
        <v>2024</v>
      </c>
      <c r="AF181">
        <f t="shared" si="26"/>
        <v>11</v>
      </c>
    </row>
    <row r="182" spans="1:32" x14ac:dyDescent="0.25">
      <c r="A182" s="59">
        <v>45610</v>
      </c>
      <c r="B182" s="2">
        <v>1168</v>
      </c>
      <c r="C182" s="19" t="s">
        <v>696</v>
      </c>
      <c r="D182" s="19" t="s">
        <v>2</v>
      </c>
      <c r="E182" s="19" t="s">
        <v>2</v>
      </c>
      <c r="F182" s="19" t="s">
        <v>700</v>
      </c>
      <c r="G182" s="19" t="s">
        <v>611</v>
      </c>
      <c r="H182" s="19" t="s">
        <v>698</v>
      </c>
      <c r="I182" s="19" t="s">
        <v>701</v>
      </c>
      <c r="J182" s="2" t="s">
        <v>2</v>
      </c>
      <c r="K182" s="20">
        <v>45610</v>
      </c>
      <c r="L182" s="20"/>
      <c r="M182" s="22">
        <v>585</v>
      </c>
      <c r="N182" s="21">
        <v>596904</v>
      </c>
      <c r="O182" s="2" t="s">
        <v>3</v>
      </c>
      <c r="P182" s="2" t="s">
        <v>129</v>
      </c>
      <c r="Q182" s="2" t="s">
        <v>98</v>
      </c>
      <c r="R182" s="21">
        <f t="shared" si="18"/>
        <v>0</v>
      </c>
      <c r="S182" s="21">
        <v>0</v>
      </c>
      <c r="T182" s="5">
        <f t="shared" si="19"/>
        <v>15000</v>
      </c>
      <c r="V182">
        <f t="shared" si="20"/>
        <v>11</v>
      </c>
      <c r="W182">
        <f t="shared" si="21"/>
        <v>11</v>
      </c>
      <c r="X182" s="5">
        <f t="shared" si="22"/>
        <v>0</v>
      </c>
      <c r="Y182" s="2" t="s">
        <v>6</v>
      </c>
      <c r="Z182" s="2" t="s">
        <v>2</v>
      </c>
      <c r="AC182">
        <f t="shared" si="23"/>
        <v>2024</v>
      </c>
      <c r="AD182">
        <f t="shared" si="24"/>
        <v>2024</v>
      </c>
      <c r="AE182" t="str">
        <f t="shared" si="25"/>
        <v/>
      </c>
      <c r="AF182" t="str">
        <f t="shared" si="26"/>
        <v/>
      </c>
    </row>
    <row r="183" spans="1:32" x14ac:dyDescent="0.25">
      <c r="A183" s="59">
        <v>45611</v>
      </c>
      <c r="B183" s="2">
        <v>1169</v>
      </c>
      <c r="C183" s="19" t="s">
        <v>702</v>
      </c>
      <c r="D183" s="19" t="s">
        <v>2</v>
      </c>
      <c r="E183" s="19" t="s">
        <v>2</v>
      </c>
      <c r="F183" s="19" t="s">
        <v>168</v>
      </c>
      <c r="G183" s="19" t="s">
        <v>126</v>
      </c>
      <c r="H183" s="19" t="s">
        <v>703</v>
      </c>
      <c r="I183" s="19" t="s">
        <v>704</v>
      </c>
      <c r="J183" s="2" t="s">
        <v>2</v>
      </c>
      <c r="K183" s="20">
        <v>45611</v>
      </c>
      <c r="L183" s="20">
        <v>45615</v>
      </c>
      <c r="M183" s="22">
        <v>0</v>
      </c>
      <c r="N183" s="21">
        <v>0</v>
      </c>
      <c r="O183" s="2" t="s">
        <v>76</v>
      </c>
      <c r="P183" s="2" t="s">
        <v>307</v>
      </c>
      <c r="Q183" s="2" t="s">
        <v>5</v>
      </c>
      <c r="R183" s="21">
        <f t="shared" si="18"/>
        <v>0</v>
      </c>
      <c r="S183" s="21">
        <v>0</v>
      </c>
      <c r="T183" s="5">
        <f t="shared" si="19"/>
        <v>15000</v>
      </c>
      <c r="V183">
        <f t="shared" si="20"/>
        <v>11</v>
      </c>
      <c r="W183">
        <f t="shared" si="21"/>
        <v>11</v>
      </c>
      <c r="X183" s="5">
        <f t="shared" si="22"/>
        <v>0</v>
      </c>
      <c r="Y183" s="2" t="s">
        <v>6</v>
      </c>
      <c r="Z183" s="2" t="s">
        <v>2</v>
      </c>
      <c r="AC183">
        <f t="shared" si="23"/>
        <v>2024</v>
      </c>
      <c r="AD183">
        <f t="shared" si="24"/>
        <v>2024</v>
      </c>
      <c r="AE183">
        <f t="shared" si="25"/>
        <v>2024</v>
      </c>
      <c r="AF183">
        <f t="shared" si="26"/>
        <v>11</v>
      </c>
    </row>
    <row r="184" spans="1:32" x14ac:dyDescent="0.25">
      <c r="A184" s="59">
        <v>45612</v>
      </c>
      <c r="B184" s="2">
        <v>1170</v>
      </c>
      <c r="C184" s="19" t="s">
        <v>1</v>
      </c>
      <c r="D184" s="19" t="s">
        <v>2</v>
      </c>
      <c r="E184" s="19" t="s">
        <v>2</v>
      </c>
      <c r="F184" s="19" t="s">
        <v>606</v>
      </c>
      <c r="G184" s="19" t="s">
        <v>92</v>
      </c>
      <c r="H184" s="19" t="s">
        <v>705</v>
      </c>
      <c r="I184" s="19" t="s">
        <v>706</v>
      </c>
      <c r="J184" s="2" t="s">
        <v>2</v>
      </c>
      <c r="K184" s="20">
        <v>45612</v>
      </c>
      <c r="L184" s="20">
        <v>45615</v>
      </c>
      <c r="M184" s="22">
        <v>250</v>
      </c>
      <c r="N184" s="21">
        <v>255000</v>
      </c>
      <c r="O184" s="2" t="s">
        <v>76</v>
      </c>
      <c r="P184" s="2" t="s">
        <v>4</v>
      </c>
      <c r="Q184" s="2" t="s">
        <v>5</v>
      </c>
      <c r="R184" s="21">
        <f t="shared" si="18"/>
        <v>255000</v>
      </c>
      <c r="S184" s="21">
        <v>255000</v>
      </c>
      <c r="T184" s="5">
        <f t="shared" si="19"/>
        <v>15000</v>
      </c>
      <c r="V184">
        <f t="shared" si="20"/>
        <v>11</v>
      </c>
      <c r="W184">
        <f t="shared" si="21"/>
        <v>11</v>
      </c>
      <c r="X184" s="5">
        <f t="shared" si="22"/>
        <v>0</v>
      </c>
      <c r="Y184" s="2" t="s">
        <v>6</v>
      </c>
      <c r="Z184" s="2" t="s">
        <v>2</v>
      </c>
      <c r="AA184">
        <v>782</v>
      </c>
      <c r="AC184">
        <f t="shared" si="23"/>
        <v>2024</v>
      </c>
      <c r="AD184">
        <f t="shared" si="24"/>
        <v>2024</v>
      </c>
      <c r="AE184">
        <f t="shared" si="25"/>
        <v>2024</v>
      </c>
      <c r="AF184">
        <f t="shared" si="26"/>
        <v>11</v>
      </c>
    </row>
    <row r="185" spans="1:32" x14ac:dyDescent="0.25">
      <c r="A185" s="59">
        <v>45615</v>
      </c>
      <c r="B185" s="2">
        <v>1171</v>
      </c>
      <c r="C185" s="19" t="s">
        <v>538</v>
      </c>
      <c r="D185" s="19" t="s">
        <v>2</v>
      </c>
      <c r="E185" s="19" t="s">
        <v>2</v>
      </c>
      <c r="F185" s="19" t="s">
        <v>400</v>
      </c>
      <c r="G185" s="19" t="s">
        <v>95</v>
      </c>
      <c r="H185" s="19" t="s">
        <v>271</v>
      </c>
      <c r="I185" s="19" t="s">
        <v>707</v>
      </c>
      <c r="J185" s="2" t="s">
        <v>2</v>
      </c>
      <c r="K185" s="20">
        <v>45615</v>
      </c>
      <c r="L185" s="20">
        <v>45615</v>
      </c>
      <c r="M185" s="22">
        <v>183</v>
      </c>
      <c r="N185" s="21">
        <v>183500</v>
      </c>
      <c r="O185" s="2" t="s">
        <v>76</v>
      </c>
      <c r="P185" s="2" t="s">
        <v>4</v>
      </c>
      <c r="Q185" s="2" t="s">
        <v>5</v>
      </c>
      <c r="R185" s="21">
        <f t="shared" si="18"/>
        <v>183500</v>
      </c>
      <c r="S185" s="21">
        <v>183500</v>
      </c>
      <c r="T185" s="5">
        <f t="shared" si="19"/>
        <v>15000</v>
      </c>
      <c r="V185">
        <f t="shared" si="20"/>
        <v>11</v>
      </c>
      <c r="W185">
        <f t="shared" si="21"/>
        <v>11</v>
      </c>
      <c r="X185" s="5">
        <f t="shared" si="22"/>
        <v>0</v>
      </c>
      <c r="Y185" s="2" t="s">
        <v>6</v>
      </c>
      <c r="Z185" s="2" t="s">
        <v>2</v>
      </c>
      <c r="AA185">
        <v>783</v>
      </c>
      <c r="AC185">
        <f t="shared" si="23"/>
        <v>2024</v>
      </c>
      <c r="AD185">
        <f t="shared" si="24"/>
        <v>2024</v>
      </c>
      <c r="AE185">
        <f t="shared" si="25"/>
        <v>2024</v>
      </c>
      <c r="AF185">
        <f t="shared" si="26"/>
        <v>11</v>
      </c>
    </row>
    <row r="186" spans="1:32" x14ac:dyDescent="0.25">
      <c r="A186" s="59">
        <v>45615</v>
      </c>
      <c r="B186" s="2">
        <v>1172</v>
      </c>
      <c r="C186" s="19" t="s">
        <v>373</v>
      </c>
      <c r="D186" s="19" t="s">
        <v>2</v>
      </c>
      <c r="E186" s="19" t="s">
        <v>2</v>
      </c>
      <c r="F186" s="19" t="s">
        <v>400</v>
      </c>
      <c r="G186" s="19" t="s">
        <v>352</v>
      </c>
      <c r="H186" s="19" t="s">
        <v>432</v>
      </c>
      <c r="I186" s="19" t="s">
        <v>708</v>
      </c>
      <c r="J186" s="2" t="s">
        <v>2</v>
      </c>
      <c r="K186" s="20">
        <v>45615</v>
      </c>
      <c r="L186" s="20">
        <v>45617</v>
      </c>
      <c r="M186" s="22">
        <v>137</v>
      </c>
      <c r="N186" s="21">
        <v>139500</v>
      </c>
      <c r="O186" s="2" t="s">
        <v>76</v>
      </c>
      <c r="P186" s="2" t="s">
        <v>4</v>
      </c>
      <c r="Q186" s="2" t="s">
        <v>5</v>
      </c>
      <c r="R186" s="21">
        <f t="shared" si="18"/>
        <v>139500</v>
      </c>
      <c r="S186" s="21">
        <v>139500</v>
      </c>
      <c r="T186" s="5">
        <f t="shared" si="19"/>
        <v>15000</v>
      </c>
      <c r="V186">
        <f t="shared" si="20"/>
        <v>11</v>
      </c>
      <c r="W186">
        <f t="shared" si="21"/>
        <v>11</v>
      </c>
      <c r="X186" s="5">
        <f t="shared" si="22"/>
        <v>0</v>
      </c>
      <c r="Y186" s="2" t="s">
        <v>6</v>
      </c>
      <c r="Z186" s="2" t="s">
        <v>2</v>
      </c>
      <c r="AA186">
        <v>784</v>
      </c>
      <c r="AC186">
        <f t="shared" si="23"/>
        <v>2024</v>
      </c>
      <c r="AD186">
        <f t="shared" si="24"/>
        <v>2024</v>
      </c>
      <c r="AE186">
        <f t="shared" si="25"/>
        <v>2024</v>
      </c>
      <c r="AF186">
        <f t="shared" si="26"/>
        <v>11</v>
      </c>
    </row>
    <row r="187" spans="1:32" x14ac:dyDescent="0.25">
      <c r="A187" s="59">
        <v>45615</v>
      </c>
      <c r="B187" s="2">
        <v>1173</v>
      </c>
      <c r="C187" s="19" t="s">
        <v>652</v>
      </c>
      <c r="D187" s="19" t="s">
        <v>2</v>
      </c>
      <c r="E187" s="19" t="s">
        <v>2</v>
      </c>
      <c r="F187" s="19" t="s">
        <v>400</v>
      </c>
      <c r="G187" s="19" t="s">
        <v>352</v>
      </c>
      <c r="H187" s="19" t="s">
        <v>432</v>
      </c>
      <c r="I187" s="19" t="s">
        <v>709</v>
      </c>
      <c r="J187" s="2" t="s">
        <v>2</v>
      </c>
      <c r="K187" s="20">
        <v>45615</v>
      </c>
      <c r="L187" s="20">
        <v>45622</v>
      </c>
      <c r="M187" s="22">
        <v>160</v>
      </c>
      <c r="N187" s="21">
        <v>163500</v>
      </c>
      <c r="O187" s="2" t="s">
        <v>76</v>
      </c>
      <c r="P187" s="2" t="s">
        <v>4</v>
      </c>
      <c r="Q187" s="2" t="s">
        <v>5</v>
      </c>
      <c r="R187" s="21">
        <f t="shared" si="18"/>
        <v>163500</v>
      </c>
      <c r="S187" s="21">
        <v>163500</v>
      </c>
      <c r="T187" s="5">
        <f t="shared" si="19"/>
        <v>15000</v>
      </c>
      <c r="V187">
        <f t="shared" si="20"/>
        <v>11</v>
      </c>
      <c r="W187">
        <f t="shared" si="21"/>
        <v>11</v>
      </c>
      <c r="X187" s="5">
        <f t="shared" si="22"/>
        <v>0</v>
      </c>
      <c r="Y187" s="2" t="s">
        <v>6</v>
      </c>
      <c r="Z187" s="2" t="s">
        <v>2</v>
      </c>
      <c r="AA187">
        <v>785</v>
      </c>
      <c r="AC187">
        <f t="shared" si="23"/>
        <v>2024</v>
      </c>
      <c r="AD187">
        <f t="shared" si="24"/>
        <v>2024</v>
      </c>
      <c r="AE187">
        <f t="shared" si="25"/>
        <v>2024</v>
      </c>
      <c r="AF187">
        <f t="shared" si="26"/>
        <v>11</v>
      </c>
    </row>
    <row r="188" spans="1:32" x14ac:dyDescent="0.25">
      <c r="A188" s="59">
        <v>45615</v>
      </c>
      <c r="B188" s="2">
        <v>1174</v>
      </c>
      <c r="C188" s="19" t="s">
        <v>162</v>
      </c>
      <c r="D188" s="19" t="s">
        <v>2</v>
      </c>
      <c r="E188" s="19" t="s">
        <v>2</v>
      </c>
      <c r="F188" s="19" t="s">
        <v>199</v>
      </c>
      <c r="G188" s="19" t="s">
        <v>710</v>
      </c>
      <c r="H188" s="19" t="s">
        <v>711</v>
      </c>
      <c r="I188" s="19" t="s">
        <v>712</v>
      </c>
      <c r="J188" s="2" t="s">
        <v>2</v>
      </c>
      <c r="K188" s="20">
        <v>45630</v>
      </c>
      <c r="L188" s="20">
        <v>45630</v>
      </c>
      <c r="M188" s="22">
        <v>160</v>
      </c>
      <c r="N188" s="21">
        <v>163500</v>
      </c>
      <c r="O188" s="2" t="s">
        <v>76</v>
      </c>
      <c r="P188" s="2" t="s">
        <v>146</v>
      </c>
      <c r="Q188" s="2" t="s">
        <v>147</v>
      </c>
      <c r="R188" s="21">
        <f t="shared" si="18"/>
        <v>0</v>
      </c>
      <c r="S188" s="21">
        <v>0</v>
      </c>
      <c r="T188" s="5">
        <f t="shared" si="19"/>
        <v>15000</v>
      </c>
      <c r="V188">
        <f t="shared" si="20"/>
        <v>12</v>
      </c>
      <c r="W188">
        <f t="shared" si="21"/>
        <v>11</v>
      </c>
      <c r="X188" s="5">
        <f t="shared" si="22"/>
        <v>0</v>
      </c>
      <c r="Y188" s="2" t="s">
        <v>6</v>
      </c>
      <c r="Z188" s="2" t="s">
        <v>2</v>
      </c>
      <c r="AC188">
        <f t="shared" si="23"/>
        <v>2024</v>
      </c>
      <c r="AD188">
        <f t="shared" si="24"/>
        <v>2024</v>
      </c>
      <c r="AE188">
        <f t="shared" si="25"/>
        <v>2024</v>
      </c>
      <c r="AF188">
        <f t="shared" si="26"/>
        <v>12</v>
      </c>
    </row>
    <row r="189" spans="1:32" x14ac:dyDescent="0.25">
      <c r="A189" s="59">
        <v>45617</v>
      </c>
      <c r="B189" s="2">
        <v>1175</v>
      </c>
      <c r="C189" s="19" t="s">
        <v>713</v>
      </c>
      <c r="D189" s="19" t="s">
        <v>2</v>
      </c>
      <c r="E189" s="19" t="s">
        <v>2</v>
      </c>
      <c r="F189" s="19" t="s">
        <v>714</v>
      </c>
      <c r="G189" s="19" t="s">
        <v>715</v>
      </c>
      <c r="H189" s="19" t="s">
        <v>716</v>
      </c>
      <c r="I189" s="19" t="s">
        <v>717</v>
      </c>
      <c r="J189" s="2" t="s">
        <v>2</v>
      </c>
      <c r="K189" s="20">
        <v>45617</v>
      </c>
      <c r="L189" s="20">
        <v>45617</v>
      </c>
      <c r="M189" s="22">
        <v>79</v>
      </c>
      <c r="N189" s="21">
        <v>79600</v>
      </c>
      <c r="O189" s="2" t="s">
        <v>76</v>
      </c>
      <c r="P189" s="2" t="s">
        <v>4</v>
      </c>
      <c r="Q189" s="2" t="s">
        <v>5</v>
      </c>
      <c r="R189" s="21">
        <f t="shared" si="18"/>
        <v>79600</v>
      </c>
      <c r="S189" s="21">
        <v>79600</v>
      </c>
      <c r="T189" s="5">
        <f t="shared" si="19"/>
        <v>15000</v>
      </c>
      <c r="V189">
        <f t="shared" si="20"/>
        <v>11</v>
      </c>
      <c r="W189">
        <f t="shared" si="21"/>
        <v>11</v>
      </c>
      <c r="X189" s="5">
        <f t="shared" si="22"/>
        <v>0</v>
      </c>
      <c r="Y189" s="2" t="s">
        <v>6</v>
      </c>
      <c r="Z189" s="2" t="s">
        <v>2</v>
      </c>
      <c r="AA189">
        <v>787</v>
      </c>
      <c r="AC189">
        <f t="shared" si="23"/>
        <v>2024</v>
      </c>
      <c r="AD189">
        <f t="shared" si="24"/>
        <v>2024</v>
      </c>
      <c r="AE189">
        <f t="shared" si="25"/>
        <v>2024</v>
      </c>
      <c r="AF189">
        <f t="shared" si="26"/>
        <v>11</v>
      </c>
    </row>
    <row r="190" spans="1:32" x14ac:dyDescent="0.25">
      <c r="A190" s="59">
        <v>45618</v>
      </c>
      <c r="B190" s="2">
        <v>1176</v>
      </c>
      <c r="C190" s="19" t="s">
        <v>130</v>
      </c>
      <c r="D190" s="19" t="s">
        <v>2</v>
      </c>
      <c r="E190" s="19" t="s">
        <v>2</v>
      </c>
      <c r="F190" s="19" t="s">
        <v>718</v>
      </c>
      <c r="G190" s="19" t="s">
        <v>719</v>
      </c>
      <c r="H190" s="19" t="s">
        <v>720</v>
      </c>
      <c r="I190" s="19" t="s">
        <v>721</v>
      </c>
      <c r="J190" s="2" t="s">
        <v>2</v>
      </c>
      <c r="K190" s="20">
        <v>45622</v>
      </c>
      <c r="L190" s="20">
        <v>45622</v>
      </c>
      <c r="M190" s="22">
        <v>0</v>
      </c>
      <c r="N190" s="21">
        <v>205200</v>
      </c>
      <c r="O190" s="2" t="s">
        <v>76</v>
      </c>
      <c r="P190" s="2" t="s">
        <v>146</v>
      </c>
      <c r="Q190" s="2" t="s">
        <v>147</v>
      </c>
      <c r="R190" s="21">
        <f t="shared" si="18"/>
        <v>0</v>
      </c>
      <c r="S190" s="21">
        <v>0</v>
      </c>
      <c r="T190" s="5">
        <f t="shared" si="19"/>
        <v>15000</v>
      </c>
      <c r="V190">
        <f t="shared" si="20"/>
        <v>11</v>
      </c>
      <c r="W190">
        <f t="shared" si="21"/>
        <v>11</v>
      </c>
      <c r="X190" s="5">
        <f t="shared" si="22"/>
        <v>0</v>
      </c>
      <c r="Y190" s="2" t="s">
        <v>6</v>
      </c>
      <c r="Z190" s="2" t="s">
        <v>2</v>
      </c>
      <c r="AC190">
        <f t="shared" si="23"/>
        <v>2024</v>
      </c>
      <c r="AD190">
        <f t="shared" si="24"/>
        <v>2024</v>
      </c>
      <c r="AE190">
        <f t="shared" si="25"/>
        <v>2024</v>
      </c>
      <c r="AF190">
        <f t="shared" si="26"/>
        <v>11</v>
      </c>
    </row>
    <row r="191" spans="1:32" x14ac:dyDescent="0.25">
      <c r="A191" s="59">
        <v>45618</v>
      </c>
      <c r="B191" s="2">
        <v>1177</v>
      </c>
      <c r="C191" s="19" t="s">
        <v>130</v>
      </c>
      <c r="D191" s="19" t="s">
        <v>2</v>
      </c>
      <c r="E191" s="19" t="s">
        <v>2</v>
      </c>
      <c r="F191" s="19" t="s">
        <v>722</v>
      </c>
      <c r="G191" s="19" t="s">
        <v>723</v>
      </c>
      <c r="H191" s="19" t="s">
        <v>724</v>
      </c>
      <c r="I191" s="19" t="s">
        <v>725</v>
      </c>
      <c r="J191" s="2" t="s">
        <v>2</v>
      </c>
      <c r="K191" s="20">
        <v>45622</v>
      </c>
      <c r="L191" s="20">
        <v>45622</v>
      </c>
      <c r="M191" s="22">
        <v>0</v>
      </c>
      <c r="N191" s="21">
        <v>92340</v>
      </c>
      <c r="O191" s="2" t="s">
        <v>76</v>
      </c>
      <c r="P191" s="2" t="s">
        <v>146</v>
      </c>
      <c r="Q191" s="2" t="s">
        <v>147</v>
      </c>
      <c r="R191" s="21">
        <f t="shared" si="18"/>
        <v>0</v>
      </c>
      <c r="S191" s="21">
        <v>0</v>
      </c>
      <c r="T191" s="5">
        <f t="shared" si="19"/>
        <v>15000</v>
      </c>
      <c r="V191">
        <f t="shared" si="20"/>
        <v>11</v>
      </c>
      <c r="W191">
        <f t="shared" si="21"/>
        <v>11</v>
      </c>
      <c r="X191" s="5">
        <f t="shared" si="22"/>
        <v>0</v>
      </c>
      <c r="Y191" s="2" t="s">
        <v>6</v>
      </c>
      <c r="Z191" s="2" t="s">
        <v>2</v>
      </c>
      <c r="AC191">
        <f t="shared" si="23"/>
        <v>2024</v>
      </c>
      <c r="AD191">
        <f t="shared" si="24"/>
        <v>2024</v>
      </c>
      <c r="AE191">
        <f t="shared" si="25"/>
        <v>2024</v>
      </c>
      <c r="AF191">
        <f t="shared" si="26"/>
        <v>11</v>
      </c>
    </row>
    <row r="192" spans="1:32" x14ac:dyDescent="0.25">
      <c r="A192" s="59">
        <v>45622</v>
      </c>
      <c r="B192" s="2">
        <v>1178</v>
      </c>
      <c r="C192" s="19" t="s">
        <v>219</v>
      </c>
      <c r="D192" s="19" t="s">
        <v>2</v>
      </c>
      <c r="E192" s="19" t="s">
        <v>2</v>
      </c>
      <c r="F192" s="19" t="s">
        <v>726</v>
      </c>
      <c r="G192" s="19" t="s">
        <v>727</v>
      </c>
      <c r="H192" s="19" t="s">
        <v>728</v>
      </c>
      <c r="I192" s="19" t="s">
        <v>729</v>
      </c>
      <c r="J192" s="2" t="s">
        <v>2</v>
      </c>
      <c r="K192" s="20">
        <v>45622</v>
      </c>
      <c r="L192" s="20">
        <v>45622</v>
      </c>
      <c r="M192" s="22">
        <v>95</v>
      </c>
      <c r="N192" s="21">
        <v>96600</v>
      </c>
      <c r="O192" s="2" t="s">
        <v>76</v>
      </c>
      <c r="P192" s="2" t="s">
        <v>4</v>
      </c>
      <c r="Q192" s="2" t="s">
        <v>5</v>
      </c>
      <c r="R192" s="21">
        <f t="shared" si="18"/>
        <v>96600</v>
      </c>
      <c r="S192" s="21">
        <v>96600</v>
      </c>
      <c r="T192" s="5">
        <f t="shared" si="19"/>
        <v>15000</v>
      </c>
      <c r="V192">
        <f t="shared" si="20"/>
        <v>11</v>
      </c>
      <c r="W192">
        <f t="shared" si="21"/>
        <v>11</v>
      </c>
      <c r="X192" s="5">
        <f t="shared" si="22"/>
        <v>0</v>
      </c>
      <c r="Y192" s="2" t="s">
        <v>6</v>
      </c>
      <c r="Z192" s="2" t="s">
        <v>2</v>
      </c>
      <c r="AA192">
        <v>790</v>
      </c>
      <c r="AC192">
        <f t="shared" si="23"/>
        <v>2024</v>
      </c>
      <c r="AD192">
        <f t="shared" si="24"/>
        <v>2024</v>
      </c>
      <c r="AE192">
        <f t="shared" si="25"/>
        <v>2024</v>
      </c>
      <c r="AF192">
        <f t="shared" si="26"/>
        <v>11</v>
      </c>
    </row>
    <row r="193" spans="1:32" x14ac:dyDescent="0.25">
      <c r="A193" s="59">
        <v>45622</v>
      </c>
      <c r="B193" s="2">
        <v>1179</v>
      </c>
      <c r="C193" s="19" t="s">
        <v>402</v>
      </c>
      <c r="D193" s="19" t="s">
        <v>2</v>
      </c>
      <c r="E193" s="19" t="s">
        <v>2</v>
      </c>
      <c r="F193" s="19" t="s">
        <v>400</v>
      </c>
      <c r="G193" s="19" t="s">
        <v>730</v>
      </c>
      <c r="H193" s="19" t="s">
        <v>731</v>
      </c>
      <c r="I193" s="19" t="s">
        <v>732</v>
      </c>
      <c r="J193" s="2" t="s">
        <v>2</v>
      </c>
      <c r="K193" s="20">
        <v>45622</v>
      </c>
      <c r="L193" s="20">
        <v>45623</v>
      </c>
      <c r="M193" s="22">
        <v>150</v>
      </c>
      <c r="N193" s="21">
        <v>152300</v>
      </c>
      <c r="O193" s="2" t="s">
        <v>76</v>
      </c>
      <c r="P193" s="2" t="s">
        <v>4</v>
      </c>
      <c r="Q193" s="2" t="s">
        <v>5</v>
      </c>
      <c r="R193" s="21">
        <f t="shared" si="18"/>
        <v>152300</v>
      </c>
      <c r="S193" s="21">
        <v>152300</v>
      </c>
      <c r="T193" s="5">
        <f t="shared" si="19"/>
        <v>15000</v>
      </c>
      <c r="V193">
        <f t="shared" si="20"/>
        <v>11</v>
      </c>
      <c r="W193">
        <f t="shared" si="21"/>
        <v>11</v>
      </c>
      <c r="X193" s="5">
        <f t="shared" si="22"/>
        <v>0</v>
      </c>
      <c r="Y193" s="2" t="s">
        <v>6</v>
      </c>
      <c r="Z193" s="2" t="s">
        <v>2</v>
      </c>
      <c r="AA193">
        <v>793</v>
      </c>
      <c r="AC193">
        <f t="shared" si="23"/>
        <v>2024</v>
      </c>
      <c r="AD193">
        <f t="shared" si="24"/>
        <v>2024</v>
      </c>
      <c r="AE193">
        <f t="shared" si="25"/>
        <v>2024</v>
      </c>
      <c r="AF193">
        <f t="shared" si="26"/>
        <v>11</v>
      </c>
    </row>
    <row r="194" spans="1:32" x14ac:dyDescent="0.25">
      <c r="A194" s="59">
        <v>45622</v>
      </c>
      <c r="B194" s="2">
        <v>1180</v>
      </c>
      <c r="C194" s="19" t="s">
        <v>733</v>
      </c>
      <c r="D194" s="19" t="s">
        <v>2</v>
      </c>
      <c r="E194" s="19" t="s">
        <v>2</v>
      </c>
      <c r="F194" s="19" t="s">
        <v>734</v>
      </c>
      <c r="G194" s="19" t="s">
        <v>261</v>
      </c>
      <c r="H194" s="19" t="s">
        <v>735</v>
      </c>
      <c r="I194" s="19" t="s">
        <v>736</v>
      </c>
      <c r="J194" s="2" t="s">
        <v>2</v>
      </c>
      <c r="K194" s="20">
        <v>45623</v>
      </c>
      <c r="L194" s="20">
        <v>45623</v>
      </c>
      <c r="M194" s="22">
        <v>230</v>
      </c>
      <c r="N194" s="21">
        <v>237500</v>
      </c>
      <c r="O194" s="2" t="s">
        <v>76</v>
      </c>
      <c r="P194" s="2" t="s">
        <v>4</v>
      </c>
      <c r="Q194" s="2" t="s">
        <v>5</v>
      </c>
      <c r="R194" s="21">
        <f t="shared" ref="R194:R257" si="27">IF(Q194="Aceptado",N194,0)</f>
        <v>237500</v>
      </c>
      <c r="S194" s="21">
        <v>237500</v>
      </c>
      <c r="T194" s="5">
        <f t="shared" ref="T194:T257" si="28">IFERROR(+T193+R194-S194,0)</f>
        <v>15000</v>
      </c>
      <c r="V194">
        <f t="shared" ref="V194:V257" si="29">IF(NOT(ISBLANK(K194)),MONTH(K194),"")</f>
        <v>11</v>
      </c>
      <c r="W194">
        <f t="shared" ref="W194:W257" si="30">IF(NOT(ISBLANK(A194)),MONTH(A194),"")</f>
        <v>11</v>
      </c>
      <c r="X194" s="5">
        <f t="shared" ref="X194:X257" si="31">IFERROR(+S194-R194,0)</f>
        <v>0</v>
      </c>
      <c r="Y194" s="2" t="s">
        <v>6</v>
      </c>
      <c r="Z194" s="2" t="s">
        <v>2</v>
      </c>
      <c r="AA194">
        <v>792</v>
      </c>
      <c r="AC194">
        <f t="shared" ref="AC194:AC257" si="32">IF(NOT(ISBLANK(K194)),YEAR(K194),"")</f>
        <v>2024</v>
      </c>
      <c r="AD194">
        <f t="shared" ref="AD194:AD257" si="33">IF(NOT(ISBLANK(A194)),YEAR(A194),"")</f>
        <v>2024</v>
      </c>
      <c r="AE194">
        <f t="shared" ref="AE194:AE257" si="34">IF(NOT(ISBLANK(L194)),YEAR(L194),"")</f>
        <v>2024</v>
      </c>
      <c r="AF194">
        <f t="shared" ref="AF194:AF257" si="35">IF(NOT(ISBLANK(L194)),MONTH(L194),"")</f>
        <v>11</v>
      </c>
    </row>
    <row r="195" spans="1:32" x14ac:dyDescent="0.25">
      <c r="A195" s="59">
        <v>45622</v>
      </c>
      <c r="B195" s="2">
        <v>1181</v>
      </c>
      <c r="C195" s="19" t="s">
        <v>82</v>
      </c>
      <c r="D195" s="19" t="s">
        <v>2</v>
      </c>
      <c r="E195" s="19" t="s">
        <v>2</v>
      </c>
      <c r="F195" s="19" t="s">
        <v>265</v>
      </c>
      <c r="G195" s="19" t="s">
        <v>108</v>
      </c>
      <c r="H195" s="19" t="s">
        <v>266</v>
      </c>
      <c r="I195" s="19" t="s">
        <v>737</v>
      </c>
      <c r="J195" s="2" t="s">
        <v>2</v>
      </c>
      <c r="K195" s="20">
        <v>45628</v>
      </c>
      <c r="L195" s="20">
        <v>45628</v>
      </c>
      <c r="M195" s="22">
        <v>400</v>
      </c>
      <c r="N195" s="21">
        <v>410800</v>
      </c>
      <c r="O195" s="2" t="s">
        <v>76</v>
      </c>
      <c r="P195" s="2" t="s">
        <v>4</v>
      </c>
      <c r="Q195" s="2" t="s">
        <v>5</v>
      </c>
      <c r="R195" s="21">
        <f t="shared" si="27"/>
        <v>410800</v>
      </c>
      <c r="S195" s="21">
        <v>410800</v>
      </c>
      <c r="T195" s="5">
        <f t="shared" si="28"/>
        <v>15000</v>
      </c>
      <c r="V195">
        <f t="shared" si="29"/>
        <v>12</v>
      </c>
      <c r="W195">
        <f t="shared" si="30"/>
        <v>11</v>
      </c>
      <c r="X195" s="5">
        <f t="shared" si="31"/>
        <v>0</v>
      </c>
      <c r="Y195" s="2" t="s">
        <v>6</v>
      </c>
      <c r="Z195" s="2" t="s">
        <v>2</v>
      </c>
      <c r="AA195">
        <v>794</v>
      </c>
      <c r="AC195">
        <f t="shared" si="32"/>
        <v>2024</v>
      </c>
      <c r="AD195">
        <f t="shared" si="33"/>
        <v>2024</v>
      </c>
      <c r="AE195">
        <f t="shared" si="34"/>
        <v>2024</v>
      </c>
      <c r="AF195">
        <f t="shared" si="35"/>
        <v>12</v>
      </c>
    </row>
    <row r="196" spans="1:32" x14ac:dyDescent="0.25">
      <c r="A196" s="59">
        <v>45625</v>
      </c>
      <c r="B196" s="2">
        <v>1182</v>
      </c>
      <c r="C196" s="19" t="s">
        <v>219</v>
      </c>
      <c r="D196" s="19" t="s">
        <v>2</v>
      </c>
      <c r="E196" s="19" t="s">
        <v>2</v>
      </c>
      <c r="F196" s="19" t="s">
        <v>738</v>
      </c>
      <c r="G196" s="19" t="s">
        <v>727</v>
      </c>
      <c r="H196" s="19" t="s">
        <v>728</v>
      </c>
      <c r="I196" s="19" t="s">
        <v>729</v>
      </c>
      <c r="J196" s="2" t="s">
        <v>2</v>
      </c>
      <c r="K196" s="20">
        <v>45625</v>
      </c>
      <c r="L196" s="20">
        <v>45629</v>
      </c>
      <c r="M196" s="22">
        <v>195</v>
      </c>
      <c r="N196" s="21">
        <v>197600</v>
      </c>
      <c r="O196" s="2" t="s">
        <v>76</v>
      </c>
      <c r="P196" s="2" t="s">
        <v>4</v>
      </c>
      <c r="Q196" s="2" t="s">
        <v>5</v>
      </c>
      <c r="R196" s="21">
        <f t="shared" si="27"/>
        <v>197600</v>
      </c>
      <c r="S196" s="21">
        <v>197600</v>
      </c>
      <c r="T196" s="5">
        <f t="shared" si="28"/>
        <v>15000</v>
      </c>
      <c r="V196">
        <f t="shared" si="29"/>
        <v>11</v>
      </c>
      <c r="W196">
        <f t="shared" si="30"/>
        <v>11</v>
      </c>
      <c r="X196" s="5">
        <f t="shared" si="31"/>
        <v>0</v>
      </c>
      <c r="Y196" s="2" t="s">
        <v>6</v>
      </c>
      <c r="Z196" s="2" t="s">
        <v>2</v>
      </c>
      <c r="AC196">
        <f t="shared" si="32"/>
        <v>2024</v>
      </c>
      <c r="AD196">
        <f t="shared" si="33"/>
        <v>2024</v>
      </c>
      <c r="AE196">
        <f t="shared" si="34"/>
        <v>2024</v>
      </c>
      <c r="AF196">
        <f t="shared" si="35"/>
        <v>12</v>
      </c>
    </row>
    <row r="197" spans="1:32" x14ac:dyDescent="0.25">
      <c r="A197" s="59">
        <v>45628</v>
      </c>
      <c r="B197" s="2">
        <v>1183</v>
      </c>
      <c r="C197" s="19" t="s">
        <v>739</v>
      </c>
      <c r="D197" s="19" t="s">
        <v>2</v>
      </c>
      <c r="E197" s="19" t="s">
        <v>2</v>
      </c>
      <c r="F197" s="19" t="s">
        <v>436</v>
      </c>
      <c r="G197" s="19" t="s">
        <v>740</v>
      </c>
      <c r="H197" s="19" t="s">
        <v>741</v>
      </c>
      <c r="I197" s="19" t="s">
        <v>742</v>
      </c>
      <c r="J197" s="2" t="s">
        <v>2</v>
      </c>
      <c r="K197" s="20">
        <v>45635</v>
      </c>
      <c r="L197" s="20">
        <v>45628</v>
      </c>
      <c r="M197" s="22">
        <v>105</v>
      </c>
      <c r="N197" s="21">
        <v>105600</v>
      </c>
      <c r="O197" s="2" t="s">
        <v>76</v>
      </c>
      <c r="P197" s="2" t="s">
        <v>4</v>
      </c>
      <c r="Q197" s="2" t="s">
        <v>5</v>
      </c>
      <c r="R197" s="21">
        <f t="shared" si="27"/>
        <v>105600</v>
      </c>
      <c r="S197" s="21">
        <v>105600</v>
      </c>
      <c r="T197" s="5">
        <f t="shared" si="28"/>
        <v>15000</v>
      </c>
      <c r="V197">
        <f t="shared" si="29"/>
        <v>12</v>
      </c>
      <c r="W197">
        <f t="shared" si="30"/>
        <v>12</v>
      </c>
      <c r="X197" s="5">
        <f t="shared" si="31"/>
        <v>0</v>
      </c>
      <c r="Y197" s="2" t="s">
        <v>6</v>
      </c>
      <c r="Z197" s="2" t="s">
        <v>2</v>
      </c>
      <c r="AC197">
        <f t="shared" si="32"/>
        <v>2024</v>
      </c>
      <c r="AD197">
        <f t="shared" si="33"/>
        <v>2024</v>
      </c>
      <c r="AE197">
        <f t="shared" si="34"/>
        <v>2024</v>
      </c>
      <c r="AF197">
        <f t="shared" si="35"/>
        <v>12</v>
      </c>
    </row>
    <row r="198" spans="1:32" x14ac:dyDescent="0.25">
      <c r="A198" s="59">
        <v>45630</v>
      </c>
      <c r="B198" s="2">
        <v>1184</v>
      </c>
      <c r="C198" s="19" t="s">
        <v>1</v>
      </c>
      <c r="D198" s="19" t="s">
        <v>2</v>
      </c>
      <c r="E198" s="19" t="s">
        <v>2</v>
      </c>
      <c r="F198" s="19" t="s">
        <v>676</v>
      </c>
      <c r="G198" s="19" t="s">
        <v>126</v>
      </c>
      <c r="H198" s="19" t="s">
        <v>703</v>
      </c>
      <c r="I198" s="19" t="s">
        <v>743</v>
      </c>
      <c r="J198" s="2" t="s">
        <v>2</v>
      </c>
      <c r="K198" s="20">
        <v>45630</v>
      </c>
      <c r="L198" s="20"/>
      <c r="M198" s="22">
        <v>0</v>
      </c>
      <c r="N198" s="21">
        <v>0</v>
      </c>
      <c r="O198" s="2" t="s">
        <v>3</v>
      </c>
      <c r="P198" s="2" t="s">
        <v>307</v>
      </c>
      <c r="Q198" s="2" t="s">
        <v>98</v>
      </c>
      <c r="R198" s="21">
        <f t="shared" si="27"/>
        <v>0</v>
      </c>
      <c r="S198" s="21">
        <v>0</v>
      </c>
      <c r="T198" s="5">
        <f t="shared" si="28"/>
        <v>15000</v>
      </c>
      <c r="V198">
        <f t="shared" si="29"/>
        <v>12</v>
      </c>
      <c r="W198">
        <f t="shared" si="30"/>
        <v>12</v>
      </c>
      <c r="X198" s="5">
        <f t="shared" si="31"/>
        <v>0</v>
      </c>
      <c r="Y198" s="2" t="s">
        <v>6</v>
      </c>
      <c r="Z198" s="2" t="s">
        <v>2</v>
      </c>
      <c r="AC198">
        <f t="shared" si="32"/>
        <v>2024</v>
      </c>
      <c r="AD198">
        <f t="shared" si="33"/>
        <v>2024</v>
      </c>
      <c r="AE198" t="str">
        <f t="shared" si="34"/>
        <v/>
      </c>
      <c r="AF198" t="str">
        <f t="shared" si="35"/>
        <v/>
      </c>
    </row>
    <row r="199" spans="1:32" x14ac:dyDescent="0.25">
      <c r="A199" s="59">
        <v>45631</v>
      </c>
      <c r="B199" s="2">
        <v>1185</v>
      </c>
      <c r="C199" s="19" t="s">
        <v>744</v>
      </c>
      <c r="D199" s="19" t="s">
        <v>2</v>
      </c>
      <c r="E199" s="19" t="s">
        <v>2</v>
      </c>
      <c r="F199" s="19" t="s">
        <v>745</v>
      </c>
      <c r="G199" s="19" t="s">
        <v>437</v>
      </c>
      <c r="H199" s="19" t="s">
        <v>746</v>
      </c>
      <c r="I199" s="19" t="s">
        <v>747</v>
      </c>
      <c r="J199" s="2" t="s">
        <v>2</v>
      </c>
      <c r="K199" s="20">
        <v>45631</v>
      </c>
      <c r="L199" s="20"/>
      <c r="M199" s="22">
        <v>167</v>
      </c>
      <c r="N199" s="21">
        <v>167500</v>
      </c>
      <c r="O199" s="2" t="s">
        <v>3</v>
      </c>
      <c r="P199" s="2" t="s">
        <v>129</v>
      </c>
      <c r="Q199" s="2" t="s">
        <v>98</v>
      </c>
      <c r="R199" s="21">
        <f t="shared" si="27"/>
        <v>0</v>
      </c>
      <c r="S199" s="21">
        <v>0</v>
      </c>
      <c r="T199" s="5">
        <f t="shared" si="28"/>
        <v>15000</v>
      </c>
      <c r="V199">
        <f t="shared" si="29"/>
        <v>12</v>
      </c>
      <c r="W199">
        <f t="shared" si="30"/>
        <v>12</v>
      </c>
      <c r="X199" s="5">
        <f t="shared" si="31"/>
        <v>0</v>
      </c>
      <c r="Y199" s="2" t="s">
        <v>6</v>
      </c>
      <c r="Z199" s="2" t="s">
        <v>2</v>
      </c>
      <c r="AC199">
        <f t="shared" si="32"/>
        <v>2024</v>
      </c>
      <c r="AD199">
        <f t="shared" si="33"/>
        <v>2024</v>
      </c>
      <c r="AE199" t="str">
        <f t="shared" si="34"/>
        <v/>
      </c>
      <c r="AF199" t="str">
        <f t="shared" si="35"/>
        <v/>
      </c>
    </row>
    <row r="200" spans="1:32" x14ac:dyDescent="0.25">
      <c r="A200" s="59">
        <v>45635.125</v>
      </c>
      <c r="B200" s="2">
        <v>1186</v>
      </c>
      <c r="C200" s="19" t="s">
        <v>298</v>
      </c>
      <c r="D200" s="19" t="s">
        <v>2</v>
      </c>
      <c r="E200" s="19" t="s">
        <v>2</v>
      </c>
      <c r="F200" s="19" t="s">
        <v>748</v>
      </c>
      <c r="G200" s="19" t="s">
        <v>749</v>
      </c>
      <c r="H200" s="19" t="s">
        <v>750</v>
      </c>
      <c r="I200" s="19" t="s">
        <v>751</v>
      </c>
      <c r="J200" s="2" t="s">
        <v>2</v>
      </c>
      <c r="K200" s="20">
        <v>45635.125</v>
      </c>
      <c r="L200" s="20">
        <v>45635.125</v>
      </c>
      <c r="M200" s="22">
        <v>175</v>
      </c>
      <c r="N200" s="21">
        <v>176000</v>
      </c>
      <c r="O200" s="2" t="s">
        <v>76</v>
      </c>
      <c r="P200" s="2" t="s">
        <v>4</v>
      </c>
      <c r="Q200" s="2" t="s">
        <v>5</v>
      </c>
      <c r="R200" s="21">
        <f t="shared" si="27"/>
        <v>176000</v>
      </c>
      <c r="S200" s="21">
        <v>176000</v>
      </c>
      <c r="T200" s="5">
        <f t="shared" si="28"/>
        <v>15000</v>
      </c>
      <c r="V200">
        <f t="shared" si="29"/>
        <v>12</v>
      </c>
      <c r="W200">
        <f t="shared" si="30"/>
        <v>12</v>
      </c>
      <c r="X200" s="5">
        <f t="shared" si="31"/>
        <v>0</v>
      </c>
      <c r="Y200" s="2" t="s">
        <v>6</v>
      </c>
      <c r="Z200" s="2" t="s">
        <v>2</v>
      </c>
      <c r="AA200">
        <v>795</v>
      </c>
      <c r="AC200">
        <f t="shared" si="32"/>
        <v>2024</v>
      </c>
      <c r="AD200">
        <f t="shared" si="33"/>
        <v>2024</v>
      </c>
      <c r="AE200">
        <f t="shared" si="34"/>
        <v>2024</v>
      </c>
      <c r="AF200">
        <f t="shared" si="35"/>
        <v>12</v>
      </c>
    </row>
    <row r="201" spans="1:32" x14ac:dyDescent="0.25">
      <c r="A201" s="59">
        <v>45636</v>
      </c>
      <c r="B201" s="2">
        <v>1187</v>
      </c>
      <c r="C201" s="19" t="s">
        <v>752</v>
      </c>
      <c r="D201" s="19" t="s">
        <v>2</v>
      </c>
      <c r="E201" s="19" t="s">
        <v>2</v>
      </c>
      <c r="F201" s="19" t="s">
        <v>753</v>
      </c>
      <c r="G201" s="19" t="s">
        <v>754</v>
      </c>
      <c r="H201" s="19" t="s">
        <v>755</v>
      </c>
      <c r="I201" s="19" t="s">
        <v>756</v>
      </c>
      <c r="J201" s="2" t="s">
        <v>2</v>
      </c>
      <c r="K201" s="20">
        <v>45639</v>
      </c>
      <c r="L201" s="20">
        <v>45639</v>
      </c>
      <c r="M201" s="22">
        <v>153</v>
      </c>
      <c r="N201" s="21">
        <v>153500</v>
      </c>
      <c r="O201" s="2" t="s">
        <v>3</v>
      </c>
      <c r="P201" s="2" t="s">
        <v>146</v>
      </c>
      <c r="Q201" s="2" t="s">
        <v>147</v>
      </c>
      <c r="R201" s="21">
        <f t="shared" si="27"/>
        <v>0</v>
      </c>
      <c r="S201" s="21">
        <v>0</v>
      </c>
      <c r="T201" s="5">
        <f t="shared" si="28"/>
        <v>15000</v>
      </c>
      <c r="V201">
        <f t="shared" si="29"/>
        <v>12</v>
      </c>
      <c r="W201">
        <f t="shared" si="30"/>
        <v>12</v>
      </c>
      <c r="X201" s="5">
        <f t="shared" si="31"/>
        <v>0</v>
      </c>
      <c r="Y201" s="2" t="s">
        <v>6</v>
      </c>
      <c r="Z201" s="2" t="s">
        <v>2</v>
      </c>
      <c r="AC201">
        <f t="shared" si="32"/>
        <v>2024</v>
      </c>
      <c r="AD201">
        <f t="shared" si="33"/>
        <v>2024</v>
      </c>
      <c r="AE201">
        <f t="shared" si="34"/>
        <v>2024</v>
      </c>
      <c r="AF201">
        <f t="shared" si="35"/>
        <v>12</v>
      </c>
    </row>
    <row r="202" spans="1:32" x14ac:dyDescent="0.25">
      <c r="A202" s="59">
        <v>45637</v>
      </c>
      <c r="B202" s="2">
        <v>1188</v>
      </c>
      <c r="C202" s="19" t="s">
        <v>757</v>
      </c>
      <c r="D202" s="19" t="s">
        <v>2</v>
      </c>
      <c r="E202" s="19" t="s">
        <v>2</v>
      </c>
      <c r="F202" s="19" t="s">
        <v>187</v>
      </c>
      <c r="G202" s="19" t="s">
        <v>758</v>
      </c>
      <c r="H202" s="19" t="s">
        <v>759</v>
      </c>
      <c r="I202" s="19" t="s">
        <v>760</v>
      </c>
      <c r="J202" s="2" t="s">
        <v>2</v>
      </c>
      <c r="K202" s="20">
        <v>45638</v>
      </c>
      <c r="L202" s="20">
        <v>45638</v>
      </c>
      <c r="M202" s="22">
        <v>95</v>
      </c>
      <c r="N202" s="21">
        <v>94800</v>
      </c>
      <c r="O202" s="2" t="s">
        <v>76</v>
      </c>
      <c r="P202" s="2" t="s">
        <v>4</v>
      </c>
      <c r="Q202" s="2" t="s">
        <v>5</v>
      </c>
      <c r="R202" s="21">
        <f t="shared" si="27"/>
        <v>94800</v>
      </c>
      <c r="S202" s="21">
        <v>94800</v>
      </c>
      <c r="T202" s="5">
        <f t="shared" si="28"/>
        <v>15000</v>
      </c>
      <c r="V202">
        <f t="shared" si="29"/>
        <v>12</v>
      </c>
      <c r="W202">
        <f t="shared" si="30"/>
        <v>12</v>
      </c>
      <c r="X202" s="5">
        <f t="shared" si="31"/>
        <v>0</v>
      </c>
      <c r="Y202" s="2" t="s">
        <v>6</v>
      </c>
      <c r="Z202" s="2" t="s">
        <v>2</v>
      </c>
      <c r="AA202">
        <v>798</v>
      </c>
      <c r="AC202">
        <f t="shared" si="32"/>
        <v>2024</v>
      </c>
      <c r="AD202">
        <f t="shared" si="33"/>
        <v>2024</v>
      </c>
      <c r="AE202">
        <f t="shared" si="34"/>
        <v>2024</v>
      </c>
      <c r="AF202">
        <f t="shared" si="35"/>
        <v>12</v>
      </c>
    </row>
    <row r="203" spans="1:32" x14ac:dyDescent="0.25">
      <c r="A203" s="59">
        <v>45637</v>
      </c>
      <c r="B203" s="2">
        <v>1189</v>
      </c>
      <c r="C203" s="19" t="s">
        <v>757</v>
      </c>
      <c r="D203" s="19" t="s">
        <v>2</v>
      </c>
      <c r="E203" s="19" t="s">
        <v>2</v>
      </c>
      <c r="F203" s="19" t="s">
        <v>761</v>
      </c>
      <c r="G203" s="19" t="s">
        <v>762</v>
      </c>
      <c r="H203" s="19" t="s">
        <v>763</v>
      </c>
      <c r="I203" s="19" t="s">
        <v>764</v>
      </c>
      <c r="J203" s="2" t="s">
        <v>2</v>
      </c>
      <c r="K203" s="20">
        <v>45638</v>
      </c>
      <c r="L203" s="20">
        <v>45638</v>
      </c>
      <c r="M203" s="22">
        <v>262</v>
      </c>
      <c r="N203" s="21">
        <v>262600</v>
      </c>
      <c r="O203" s="2" t="s">
        <v>76</v>
      </c>
      <c r="P203" s="2" t="s">
        <v>4</v>
      </c>
      <c r="Q203" s="2" t="s">
        <v>5</v>
      </c>
      <c r="R203" s="21">
        <f t="shared" si="27"/>
        <v>262600</v>
      </c>
      <c r="S203" s="21">
        <v>262600</v>
      </c>
      <c r="T203" s="5">
        <f t="shared" si="28"/>
        <v>15000</v>
      </c>
      <c r="V203">
        <f t="shared" si="29"/>
        <v>12</v>
      </c>
      <c r="W203">
        <f t="shared" si="30"/>
        <v>12</v>
      </c>
      <c r="X203" s="5">
        <f t="shared" si="31"/>
        <v>0</v>
      </c>
      <c r="Y203" s="2" t="s">
        <v>6</v>
      </c>
      <c r="Z203" s="2" t="s">
        <v>2</v>
      </c>
      <c r="AA203">
        <v>798</v>
      </c>
      <c r="AC203">
        <f t="shared" si="32"/>
        <v>2024</v>
      </c>
      <c r="AD203">
        <f t="shared" si="33"/>
        <v>2024</v>
      </c>
      <c r="AE203">
        <f t="shared" si="34"/>
        <v>2024</v>
      </c>
      <c r="AF203">
        <f t="shared" si="35"/>
        <v>12</v>
      </c>
    </row>
    <row r="204" spans="1:32" x14ac:dyDescent="0.25">
      <c r="A204" s="59">
        <v>45637</v>
      </c>
      <c r="B204" s="2">
        <v>1190</v>
      </c>
      <c r="C204" s="19" t="s">
        <v>82</v>
      </c>
      <c r="D204" s="19" t="s">
        <v>2</v>
      </c>
      <c r="E204" s="19" t="s">
        <v>2</v>
      </c>
      <c r="F204" s="19" t="s">
        <v>107</v>
      </c>
      <c r="G204" s="19" t="s">
        <v>108</v>
      </c>
      <c r="H204" s="19" t="s">
        <v>266</v>
      </c>
      <c r="I204" s="19" t="s">
        <v>765</v>
      </c>
      <c r="J204" s="2" t="s">
        <v>2</v>
      </c>
      <c r="K204" s="20">
        <v>45637</v>
      </c>
      <c r="L204" s="20">
        <v>45639</v>
      </c>
      <c r="M204" s="22">
        <v>370</v>
      </c>
      <c r="N204" s="21">
        <v>370000</v>
      </c>
      <c r="O204" s="2" t="s">
        <v>76</v>
      </c>
      <c r="P204" s="2" t="s">
        <v>4</v>
      </c>
      <c r="Q204" s="2" t="s">
        <v>5</v>
      </c>
      <c r="R204" s="21">
        <f t="shared" si="27"/>
        <v>370000</v>
      </c>
      <c r="S204" s="21">
        <v>370000</v>
      </c>
      <c r="T204" s="5">
        <f t="shared" si="28"/>
        <v>15000</v>
      </c>
      <c r="V204">
        <f t="shared" si="29"/>
        <v>12</v>
      </c>
      <c r="W204">
        <f t="shared" si="30"/>
        <v>12</v>
      </c>
      <c r="X204" s="5">
        <f t="shared" si="31"/>
        <v>0</v>
      </c>
      <c r="Y204" s="2" t="s">
        <v>6</v>
      </c>
      <c r="Z204" s="2" t="s">
        <v>2</v>
      </c>
      <c r="AA204">
        <v>797</v>
      </c>
      <c r="AC204">
        <f t="shared" si="32"/>
        <v>2024</v>
      </c>
      <c r="AD204">
        <f t="shared" si="33"/>
        <v>2024</v>
      </c>
      <c r="AE204">
        <f t="shared" si="34"/>
        <v>2024</v>
      </c>
      <c r="AF204">
        <f t="shared" si="35"/>
        <v>12</v>
      </c>
    </row>
    <row r="205" spans="1:32" x14ac:dyDescent="0.25">
      <c r="A205" s="59">
        <v>45639</v>
      </c>
      <c r="B205" s="2">
        <v>1191</v>
      </c>
      <c r="C205" s="19" t="s">
        <v>752</v>
      </c>
      <c r="D205" s="19" t="s">
        <v>2</v>
      </c>
      <c r="E205" s="19" t="s">
        <v>2</v>
      </c>
      <c r="F205" s="19" t="s">
        <v>753</v>
      </c>
      <c r="G205" s="19" t="s">
        <v>754</v>
      </c>
      <c r="H205" s="19" t="s">
        <v>755</v>
      </c>
      <c r="I205" s="19" t="s">
        <v>756</v>
      </c>
      <c r="J205" s="2" t="s">
        <v>2</v>
      </c>
      <c r="K205" s="20">
        <v>45640</v>
      </c>
      <c r="L205" s="20">
        <v>45640</v>
      </c>
      <c r="M205" s="22">
        <v>53</v>
      </c>
      <c r="N205" s="21">
        <v>53600</v>
      </c>
      <c r="O205" s="2" t="s">
        <v>76</v>
      </c>
      <c r="P205" s="2" t="s">
        <v>4</v>
      </c>
      <c r="Q205" s="2" t="s">
        <v>5</v>
      </c>
      <c r="R205" s="21">
        <f t="shared" si="27"/>
        <v>53600</v>
      </c>
      <c r="S205" s="21">
        <v>53600</v>
      </c>
      <c r="T205" s="5">
        <f t="shared" si="28"/>
        <v>15000</v>
      </c>
      <c r="V205">
        <f t="shared" si="29"/>
        <v>12</v>
      </c>
      <c r="W205">
        <f t="shared" si="30"/>
        <v>12</v>
      </c>
      <c r="X205" s="5">
        <f t="shared" si="31"/>
        <v>0</v>
      </c>
      <c r="Y205" s="2" t="s">
        <v>6</v>
      </c>
      <c r="Z205" s="2" t="s">
        <v>2</v>
      </c>
      <c r="AA205">
        <v>796</v>
      </c>
      <c r="AC205">
        <f t="shared" si="32"/>
        <v>2024</v>
      </c>
      <c r="AD205">
        <f t="shared" si="33"/>
        <v>2024</v>
      </c>
      <c r="AE205">
        <f t="shared" si="34"/>
        <v>2024</v>
      </c>
      <c r="AF205">
        <f t="shared" si="35"/>
        <v>12</v>
      </c>
    </row>
    <row r="206" spans="1:32" x14ac:dyDescent="0.25">
      <c r="A206" s="59">
        <v>45642.125</v>
      </c>
      <c r="B206" s="2">
        <v>1192</v>
      </c>
      <c r="C206" s="19" t="s">
        <v>575</v>
      </c>
      <c r="D206" s="19" t="s">
        <v>2</v>
      </c>
      <c r="E206" s="19" t="s">
        <v>2</v>
      </c>
      <c r="F206" s="19" t="s">
        <v>225</v>
      </c>
      <c r="G206" s="19" t="s">
        <v>766</v>
      </c>
      <c r="H206" s="19" t="s">
        <v>767</v>
      </c>
      <c r="I206" s="19" t="s">
        <v>768</v>
      </c>
      <c r="J206" s="2" t="s">
        <v>2</v>
      </c>
      <c r="K206" s="20">
        <v>45643.125</v>
      </c>
      <c r="L206" s="20">
        <v>45643.125</v>
      </c>
      <c r="M206" s="22">
        <v>170</v>
      </c>
      <c r="N206" s="21">
        <v>177000</v>
      </c>
      <c r="O206" s="2" t="s">
        <v>76</v>
      </c>
      <c r="P206" s="2" t="s">
        <v>4</v>
      </c>
      <c r="Q206" s="2" t="s">
        <v>5</v>
      </c>
      <c r="R206" s="21">
        <f t="shared" si="27"/>
        <v>177000</v>
      </c>
      <c r="S206" s="21">
        <v>177000</v>
      </c>
      <c r="T206" s="5">
        <f t="shared" si="28"/>
        <v>15000</v>
      </c>
      <c r="V206">
        <f t="shared" si="29"/>
        <v>12</v>
      </c>
      <c r="W206">
        <f t="shared" si="30"/>
        <v>12</v>
      </c>
      <c r="X206" s="5">
        <f t="shared" si="31"/>
        <v>0</v>
      </c>
      <c r="Y206" s="2" t="s">
        <v>6</v>
      </c>
      <c r="Z206" s="2" t="s">
        <v>2</v>
      </c>
      <c r="AA206">
        <v>799</v>
      </c>
      <c r="AC206">
        <f t="shared" si="32"/>
        <v>2024</v>
      </c>
      <c r="AD206">
        <f t="shared" si="33"/>
        <v>2024</v>
      </c>
      <c r="AE206">
        <f t="shared" si="34"/>
        <v>2024</v>
      </c>
      <c r="AF206">
        <f t="shared" si="35"/>
        <v>12</v>
      </c>
    </row>
    <row r="207" spans="1:32" x14ac:dyDescent="0.25">
      <c r="A207" s="59">
        <v>45643</v>
      </c>
      <c r="B207" s="2">
        <v>1193</v>
      </c>
      <c r="C207" s="19" t="s">
        <v>136</v>
      </c>
      <c r="D207" s="19" t="s">
        <v>2</v>
      </c>
      <c r="E207" s="19" t="s">
        <v>2</v>
      </c>
      <c r="F207" s="19" t="s">
        <v>137</v>
      </c>
      <c r="G207" s="19" t="s">
        <v>138</v>
      </c>
      <c r="H207" s="19" t="s">
        <v>139</v>
      </c>
      <c r="I207" s="19" t="s">
        <v>769</v>
      </c>
      <c r="J207" s="2" t="s">
        <v>2</v>
      </c>
      <c r="K207" s="20">
        <v>45666</v>
      </c>
      <c r="L207" s="20">
        <v>45666</v>
      </c>
      <c r="M207" s="22">
        <v>235</v>
      </c>
      <c r="N207" s="21">
        <v>235600</v>
      </c>
      <c r="O207" s="2" t="s">
        <v>76</v>
      </c>
      <c r="P207" s="2" t="s">
        <v>4</v>
      </c>
      <c r="Q207" s="2" t="s">
        <v>5</v>
      </c>
      <c r="R207" s="21">
        <f t="shared" si="27"/>
        <v>235600</v>
      </c>
      <c r="S207" s="21">
        <v>235600</v>
      </c>
      <c r="T207" s="5">
        <f t="shared" si="28"/>
        <v>15000</v>
      </c>
      <c r="V207">
        <f t="shared" si="29"/>
        <v>1</v>
      </c>
      <c r="W207">
        <f t="shared" si="30"/>
        <v>12</v>
      </c>
      <c r="X207" s="5">
        <f t="shared" si="31"/>
        <v>0</v>
      </c>
      <c r="Y207" s="2" t="s">
        <v>6</v>
      </c>
      <c r="Z207" s="2" t="s">
        <v>2</v>
      </c>
      <c r="AA207">
        <v>801</v>
      </c>
      <c r="AC207">
        <f t="shared" si="32"/>
        <v>2025</v>
      </c>
      <c r="AD207">
        <f t="shared" si="33"/>
        <v>2024</v>
      </c>
      <c r="AE207">
        <f t="shared" si="34"/>
        <v>2025</v>
      </c>
      <c r="AF207">
        <f t="shared" si="35"/>
        <v>1</v>
      </c>
    </row>
    <row r="208" spans="1:32" x14ac:dyDescent="0.25">
      <c r="A208" s="59">
        <v>45643</v>
      </c>
      <c r="B208" s="2">
        <v>1194</v>
      </c>
      <c r="C208" s="19" t="s">
        <v>1</v>
      </c>
      <c r="D208" s="19" t="s">
        <v>2</v>
      </c>
      <c r="E208" s="19" t="s">
        <v>2</v>
      </c>
      <c r="F208" s="19" t="s">
        <v>770</v>
      </c>
      <c r="G208" s="19" t="s">
        <v>771</v>
      </c>
      <c r="H208" s="19" t="s">
        <v>772</v>
      </c>
      <c r="I208" s="19" t="s">
        <v>773</v>
      </c>
      <c r="J208" s="2" t="s">
        <v>2</v>
      </c>
      <c r="K208" s="20">
        <v>45666</v>
      </c>
      <c r="L208" s="20">
        <v>45644</v>
      </c>
      <c r="M208" s="22">
        <v>150</v>
      </c>
      <c r="N208" s="21">
        <v>153600</v>
      </c>
      <c r="O208" s="2" t="s">
        <v>3</v>
      </c>
      <c r="P208" s="2" t="s">
        <v>4</v>
      </c>
      <c r="Q208" s="2" t="s">
        <v>5</v>
      </c>
      <c r="R208" s="21">
        <f t="shared" si="27"/>
        <v>153600</v>
      </c>
      <c r="S208" s="21">
        <v>153600</v>
      </c>
      <c r="T208" s="5">
        <f t="shared" si="28"/>
        <v>15000</v>
      </c>
      <c r="V208">
        <f t="shared" si="29"/>
        <v>1</v>
      </c>
      <c r="W208">
        <f t="shared" si="30"/>
        <v>12</v>
      </c>
      <c r="X208" s="5">
        <f t="shared" si="31"/>
        <v>0</v>
      </c>
      <c r="Y208" s="2" t="s">
        <v>6</v>
      </c>
      <c r="Z208" s="2" t="s">
        <v>2</v>
      </c>
      <c r="AA208">
        <v>800</v>
      </c>
      <c r="AC208">
        <f t="shared" si="32"/>
        <v>2025</v>
      </c>
      <c r="AD208">
        <f t="shared" si="33"/>
        <v>2024</v>
      </c>
      <c r="AE208">
        <f t="shared" si="34"/>
        <v>2024</v>
      </c>
      <c r="AF208">
        <f t="shared" si="35"/>
        <v>12</v>
      </c>
    </row>
    <row r="209" spans="1:32" x14ac:dyDescent="0.25">
      <c r="A209" s="59">
        <v>45667</v>
      </c>
      <c r="B209" s="2">
        <v>1195</v>
      </c>
      <c r="C209" s="19" t="s">
        <v>82</v>
      </c>
      <c r="D209" s="19" t="s">
        <v>2</v>
      </c>
      <c r="E209" s="19" t="s">
        <v>2</v>
      </c>
      <c r="F209" s="19" t="s">
        <v>685</v>
      </c>
      <c r="G209" s="19" t="s">
        <v>370</v>
      </c>
      <c r="H209" s="19" t="s">
        <v>686</v>
      </c>
      <c r="I209" s="19" t="s">
        <v>687</v>
      </c>
      <c r="J209" s="2" t="s">
        <v>2</v>
      </c>
      <c r="K209" s="20">
        <v>45672</v>
      </c>
      <c r="L209" s="20">
        <v>45672</v>
      </c>
      <c r="M209" s="22">
        <v>204</v>
      </c>
      <c r="N209" s="21">
        <v>215500</v>
      </c>
      <c r="O209" s="2" t="s">
        <v>3</v>
      </c>
      <c r="P209" s="2" t="s">
        <v>4</v>
      </c>
      <c r="Q209" s="2" t="s">
        <v>5</v>
      </c>
      <c r="R209" s="21">
        <f t="shared" si="27"/>
        <v>215500</v>
      </c>
      <c r="S209" s="21">
        <v>215500</v>
      </c>
      <c r="T209" s="5">
        <f t="shared" si="28"/>
        <v>15000</v>
      </c>
      <c r="V209">
        <f t="shared" si="29"/>
        <v>1</v>
      </c>
      <c r="W209">
        <f t="shared" si="30"/>
        <v>1</v>
      </c>
      <c r="X209" s="5">
        <f t="shared" si="31"/>
        <v>0</v>
      </c>
      <c r="Y209" s="2" t="s">
        <v>6</v>
      </c>
      <c r="Z209" s="2" t="s">
        <v>2</v>
      </c>
      <c r="AA209">
        <v>802</v>
      </c>
      <c r="AC209">
        <f t="shared" si="32"/>
        <v>2025</v>
      </c>
      <c r="AD209">
        <f t="shared" si="33"/>
        <v>2025</v>
      </c>
      <c r="AE209">
        <f t="shared" si="34"/>
        <v>2025</v>
      </c>
      <c r="AF209">
        <f t="shared" si="35"/>
        <v>1</v>
      </c>
    </row>
    <row r="210" spans="1:32" x14ac:dyDescent="0.25">
      <c r="A210" s="59">
        <v>45667</v>
      </c>
      <c r="B210" s="2">
        <v>1196</v>
      </c>
      <c r="C210" s="19" t="s">
        <v>82</v>
      </c>
      <c r="D210" s="19" t="s">
        <v>2</v>
      </c>
      <c r="E210" s="19" t="s">
        <v>2</v>
      </c>
      <c r="F210" s="19" t="s">
        <v>774</v>
      </c>
      <c r="G210" s="19" t="s">
        <v>775</v>
      </c>
      <c r="H210" s="19" t="s">
        <v>776</v>
      </c>
      <c r="I210" s="19" t="s">
        <v>777</v>
      </c>
      <c r="J210" s="2" t="s">
        <v>2</v>
      </c>
      <c r="K210" s="20">
        <v>45667</v>
      </c>
      <c r="L210" s="20"/>
      <c r="M210" s="22">
        <v>115</v>
      </c>
      <c r="N210" s="21">
        <v>115600</v>
      </c>
      <c r="O210" s="2" t="s">
        <v>3</v>
      </c>
      <c r="P210" s="2" t="s">
        <v>129</v>
      </c>
      <c r="Q210" s="2" t="s">
        <v>98</v>
      </c>
      <c r="R210" s="21">
        <f t="shared" si="27"/>
        <v>0</v>
      </c>
      <c r="S210" s="21">
        <v>0</v>
      </c>
      <c r="T210" s="5">
        <f t="shared" si="28"/>
        <v>15000</v>
      </c>
      <c r="V210">
        <f t="shared" si="29"/>
        <v>1</v>
      </c>
      <c r="W210">
        <f t="shared" si="30"/>
        <v>1</v>
      </c>
      <c r="X210" s="5">
        <f t="shared" si="31"/>
        <v>0</v>
      </c>
      <c r="Y210" s="2" t="s">
        <v>6</v>
      </c>
      <c r="Z210" s="2" t="s">
        <v>2</v>
      </c>
      <c r="AC210">
        <f t="shared" si="32"/>
        <v>2025</v>
      </c>
      <c r="AD210">
        <f t="shared" si="33"/>
        <v>2025</v>
      </c>
      <c r="AE210" t="str">
        <f t="shared" si="34"/>
        <v/>
      </c>
      <c r="AF210" t="str">
        <f t="shared" si="35"/>
        <v/>
      </c>
    </row>
    <row r="211" spans="1:32" x14ac:dyDescent="0.25">
      <c r="A211" s="59">
        <v>45667</v>
      </c>
      <c r="B211" s="2">
        <v>1197</v>
      </c>
      <c r="C211" s="19" t="s">
        <v>778</v>
      </c>
      <c r="D211" s="19" t="s">
        <v>2</v>
      </c>
      <c r="E211" s="19" t="s">
        <v>2</v>
      </c>
      <c r="F211" s="19" t="s">
        <v>779</v>
      </c>
      <c r="G211" s="19" t="s">
        <v>780</v>
      </c>
      <c r="H211" s="19" t="s">
        <v>781</v>
      </c>
      <c r="I211" s="19" t="s">
        <v>782</v>
      </c>
      <c r="J211" s="2" t="s">
        <v>2</v>
      </c>
      <c r="K211" s="20">
        <v>45675</v>
      </c>
      <c r="L211" s="20">
        <v>45667</v>
      </c>
      <c r="M211" s="22">
        <v>120</v>
      </c>
      <c r="N211" s="21">
        <v>126500</v>
      </c>
      <c r="O211" s="2" t="s">
        <v>76</v>
      </c>
      <c r="P211" s="2" t="s">
        <v>4</v>
      </c>
      <c r="Q211" s="2" t="s">
        <v>5</v>
      </c>
      <c r="R211" s="21">
        <f t="shared" si="27"/>
        <v>126500</v>
      </c>
      <c r="S211" s="21">
        <v>126500</v>
      </c>
      <c r="T211" s="5">
        <f t="shared" si="28"/>
        <v>15000</v>
      </c>
      <c r="V211">
        <f t="shared" si="29"/>
        <v>1</v>
      </c>
      <c r="W211">
        <f t="shared" si="30"/>
        <v>1</v>
      </c>
      <c r="X211" s="5">
        <f t="shared" si="31"/>
        <v>0</v>
      </c>
      <c r="Y211" s="2" t="s">
        <v>6</v>
      </c>
      <c r="Z211" s="2" t="s">
        <v>2</v>
      </c>
      <c r="AA211">
        <v>807</v>
      </c>
      <c r="AC211">
        <f t="shared" si="32"/>
        <v>2025</v>
      </c>
      <c r="AD211">
        <f t="shared" si="33"/>
        <v>2025</v>
      </c>
      <c r="AE211">
        <f t="shared" si="34"/>
        <v>2025</v>
      </c>
      <c r="AF211">
        <f t="shared" si="35"/>
        <v>1</v>
      </c>
    </row>
    <row r="212" spans="1:32" x14ac:dyDescent="0.25">
      <c r="A212" s="59">
        <v>45667</v>
      </c>
      <c r="B212" s="2">
        <v>1198</v>
      </c>
      <c r="C212" s="19" t="s">
        <v>82</v>
      </c>
      <c r="D212" s="19" t="s">
        <v>2</v>
      </c>
      <c r="E212" s="19" t="s">
        <v>2</v>
      </c>
      <c r="F212" s="19" t="s">
        <v>107</v>
      </c>
      <c r="G212" s="19" t="s">
        <v>458</v>
      </c>
      <c r="H212" s="19" t="s">
        <v>783</v>
      </c>
      <c r="I212" s="19" t="s">
        <v>784</v>
      </c>
      <c r="J212" s="2" t="s">
        <v>2</v>
      </c>
      <c r="K212" s="20">
        <v>45677</v>
      </c>
      <c r="L212" s="20">
        <v>45667</v>
      </c>
      <c r="M212" s="22">
        <v>400</v>
      </c>
      <c r="N212" s="21">
        <v>423400</v>
      </c>
      <c r="O212" s="2" t="s">
        <v>76</v>
      </c>
      <c r="P212" s="2" t="s">
        <v>4</v>
      </c>
      <c r="Q212" s="2" t="s">
        <v>5</v>
      </c>
      <c r="R212" s="21">
        <f t="shared" si="27"/>
        <v>423400</v>
      </c>
      <c r="S212" s="21">
        <v>423400</v>
      </c>
      <c r="T212" s="5">
        <f t="shared" si="28"/>
        <v>15000</v>
      </c>
      <c r="V212">
        <f t="shared" si="29"/>
        <v>1</v>
      </c>
      <c r="W212">
        <f t="shared" si="30"/>
        <v>1</v>
      </c>
      <c r="X212" s="5">
        <f t="shared" si="31"/>
        <v>0</v>
      </c>
      <c r="Y212" s="2" t="s">
        <v>6</v>
      </c>
      <c r="Z212" s="2" t="s">
        <v>2</v>
      </c>
      <c r="AA212">
        <v>808</v>
      </c>
      <c r="AC212">
        <f t="shared" si="32"/>
        <v>2025</v>
      </c>
      <c r="AD212">
        <f t="shared" si="33"/>
        <v>2025</v>
      </c>
      <c r="AE212">
        <f t="shared" si="34"/>
        <v>2025</v>
      </c>
      <c r="AF212">
        <f t="shared" si="35"/>
        <v>1</v>
      </c>
    </row>
    <row r="213" spans="1:32" x14ac:dyDescent="0.25">
      <c r="A213" s="59">
        <v>45670</v>
      </c>
      <c r="B213" s="2">
        <v>1199</v>
      </c>
      <c r="C213" s="19" t="s">
        <v>157</v>
      </c>
      <c r="D213" s="19" t="s">
        <v>2</v>
      </c>
      <c r="E213" s="19" t="s">
        <v>2</v>
      </c>
      <c r="F213" s="19" t="s">
        <v>785</v>
      </c>
      <c r="G213" s="19" t="s">
        <v>786</v>
      </c>
      <c r="H213" s="19" t="s">
        <v>787</v>
      </c>
      <c r="I213" s="19" t="s">
        <v>788</v>
      </c>
      <c r="J213" s="2" t="s">
        <v>2</v>
      </c>
      <c r="K213" s="20">
        <v>45678</v>
      </c>
      <c r="L213" s="20">
        <v>45671</v>
      </c>
      <c r="M213" s="22">
        <v>212</v>
      </c>
      <c r="N213" s="21">
        <v>224600</v>
      </c>
      <c r="O213" s="2" t="s">
        <v>76</v>
      </c>
      <c r="P213" s="2" t="s">
        <v>4</v>
      </c>
      <c r="Q213" s="2" t="s">
        <v>5</v>
      </c>
      <c r="R213" s="21">
        <f t="shared" si="27"/>
        <v>224600</v>
      </c>
      <c r="S213" s="21">
        <v>224600</v>
      </c>
      <c r="T213" s="5">
        <f t="shared" si="28"/>
        <v>15000</v>
      </c>
      <c r="V213">
        <f t="shared" si="29"/>
        <v>1</v>
      </c>
      <c r="W213">
        <f t="shared" si="30"/>
        <v>1</v>
      </c>
      <c r="X213" s="5">
        <f t="shared" si="31"/>
        <v>0</v>
      </c>
      <c r="Y213" s="2" t="s">
        <v>6</v>
      </c>
      <c r="Z213" s="2" t="s">
        <v>2</v>
      </c>
      <c r="AC213">
        <f t="shared" si="32"/>
        <v>2025</v>
      </c>
      <c r="AD213">
        <f t="shared" si="33"/>
        <v>2025</v>
      </c>
      <c r="AE213">
        <f t="shared" si="34"/>
        <v>2025</v>
      </c>
      <c r="AF213">
        <f t="shared" si="35"/>
        <v>1</v>
      </c>
    </row>
    <row r="214" spans="1:32" x14ac:dyDescent="0.25">
      <c r="A214" s="59">
        <v>45671</v>
      </c>
      <c r="B214" s="2">
        <v>1200</v>
      </c>
      <c r="C214" s="19" t="s">
        <v>1</v>
      </c>
      <c r="D214" s="19" t="s">
        <v>2</v>
      </c>
      <c r="E214" s="19" t="s">
        <v>789</v>
      </c>
      <c r="F214" s="19" t="s">
        <v>137</v>
      </c>
      <c r="G214" s="19" t="s">
        <v>138</v>
      </c>
      <c r="H214" s="19" t="s">
        <v>139</v>
      </c>
      <c r="I214" s="19" t="s">
        <v>790</v>
      </c>
      <c r="J214" s="2" t="s">
        <v>2</v>
      </c>
      <c r="K214" s="20">
        <v>45672</v>
      </c>
      <c r="L214" s="20">
        <v>45671</v>
      </c>
      <c r="M214" s="22">
        <v>150</v>
      </c>
      <c r="N214" s="21">
        <v>159700</v>
      </c>
      <c r="O214" s="2" t="s">
        <v>76</v>
      </c>
      <c r="P214" s="2" t="s">
        <v>4</v>
      </c>
      <c r="Q214" s="2" t="s">
        <v>5</v>
      </c>
      <c r="R214" s="21">
        <f t="shared" si="27"/>
        <v>159700</v>
      </c>
      <c r="S214" s="21">
        <v>159700</v>
      </c>
      <c r="T214" s="5">
        <f t="shared" si="28"/>
        <v>15000</v>
      </c>
      <c r="V214">
        <f t="shared" si="29"/>
        <v>1</v>
      </c>
      <c r="W214">
        <f t="shared" si="30"/>
        <v>1</v>
      </c>
      <c r="X214" s="5">
        <f t="shared" si="31"/>
        <v>0</v>
      </c>
      <c r="Y214" s="2" t="s">
        <v>6</v>
      </c>
      <c r="Z214" s="2" t="s">
        <v>2</v>
      </c>
      <c r="AA214">
        <v>803</v>
      </c>
      <c r="AC214">
        <f t="shared" si="32"/>
        <v>2025</v>
      </c>
      <c r="AD214">
        <f t="shared" si="33"/>
        <v>2025</v>
      </c>
      <c r="AE214">
        <f t="shared" si="34"/>
        <v>2025</v>
      </c>
      <c r="AF214">
        <f t="shared" si="35"/>
        <v>1</v>
      </c>
    </row>
    <row r="215" spans="1:32" x14ac:dyDescent="0.25">
      <c r="A215" s="59">
        <v>45671</v>
      </c>
      <c r="B215" s="2">
        <v>1201</v>
      </c>
      <c r="C215" s="19" t="s">
        <v>1</v>
      </c>
      <c r="D215" s="19" t="s">
        <v>2</v>
      </c>
      <c r="E215" s="19" t="s">
        <v>791</v>
      </c>
      <c r="F215" s="19" t="s">
        <v>137</v>
      </c>
      <c r="G215" s="19" t="s">
        <v>138</v>
      </c>
      <c r="H215" s="19" t="s">
        <v>139</v>
      </c>
      <c r="I215" s="19" t="s">
        <v>792</v>
      </c>
      <c r="J215" s="2" t="s">
        <v>2</v>
      </c>
      <c r="K215" s="20">
        <v>45675</v>
      </c>
      <c r="L215" s="20">
        <v>45674</v>
      </c>
      <c r="M215" s="22">
        <v>140</v>
      </c>
      <c r="N215" s="21">
        <v>148500</v>
      </c>
      <c r="O215" s="2" t="s">
        <v>76</v>
      </c>
      <c r="P215" s="2" t="s">
        <v>4</v>
      </c>
      <c r="Q215" s="2" t="s">
        <v>5</v>
      </c>
      <c r="R215" s="21">
        <f t="shared" si="27"/>
        <v>148500</v>
      </c>
      <c r="S215" s="21">
        <v>148500</v>
      </c>
      <c r="T215" s="5">
        <f t="shared" si="28"/>
        <v>15000</v>
      </c>
      <c r="V215">
        <f t="shared" si="29"/>
        <v>1</v>
      </c>
      <c r="W215">
        <f t="shared" si="30"/>
        <v>1</v>
      </c>
      <c r="X215" s="5">
        <f t="shared" si="31"/>
        <v>0</v>
      </c>
      <c r="Y215" s="2" t="s">
        <v>6</v>
      </c>
      <c r="Z215" s="2" t="s">
        <v>2</v>
      </c>
      <c r="AA215">
        <v>805</v>
      </c>
      <c r="AC215">
        <f t="shared" si="32"/>
        <v>2025</v>
      </c>
      <c r="AD215">
        <f t="shared" si="33"/>
        <v>2025</v>
      </c>
      <c r="AE215">
        <f t="shared" si="34"/>
        <v>2025</v>
      </c>
      <c r="AF215">
        <f t="shared" si="35"/>
        <v>1</v>
      </c>
    </row>
    <row r="216" spans="1:32" x14ac:dyDescent="0.25">
      <c r="A216" s="59">
        <v>45672</v>
      </c>
      <c r="B216" s="2">
        <v>1202</v>
      </c>
      <c r="C216" s="19" t="s">
        <v>793</v>
      </c>
      <c r="D216" s="19" t="s">
        <v>2</v>
      </c>
      <c r="E216" s="19" t="s">
        <v>2</v>
      </c>
      <c r="F216" s="19" t="s">
        <v>400</v>
      </c>
      <c r="G216" s="19" t="s">
        <v>794</v>
      </c>
      <c r="H216" s="19" t="s">
        <v>795</v>
      </c>
      <c r="I216" s="19" t="s">
        <v>796</v>
      </c>
      <c r="J216" s="2" t="s">
        <v>2</v>
      </c>
      <c r="K216" s="20">
        <v>45672</v>
      </c>
      <c r="L216" s="20">
        <v>45678</v>
      </c>
      <c r="M216" s="22">
        <v>200</v>
      </c>
      <c r="N216" s="21">
        <v>212300</v>
      </c>
      <c r="O216" s="2" t="s">
        <v>76</v>
      </c>
      <c r="P216" s="2" t="s">
        <v>4</v>
      </c>
      <c r="Q216" s="2" t="s">
        <v>5</v>
      </c>
      <c r="R216" s="21">
        <f t="shared" si="27"/>
        <v>212300</v>
      </c>
      <c r="S216" s="21">
        <v>212300</v>
      </c>
      <c r="T216" s="5">
        <f t="shared" si="28"/>
        <v>15000</v>
      </c>
      <c r="V216">
        <f t="shared" si="29"/>
        <v>1</v>
      </c>
      <c r="W216">
        <f t="shared" si="30"/>
        <v>1</v>
      </c>
      <c r="X216" s="5">
        <f t="shared" si="31"/>
        <v>0</v>
      </c>
      <c r="Y216" s="2" t="s">
        <v>6</v>
      </c>
      <c r="Z216" s="2" t="s">
        <v>2</v>
      </c>
      <c r="AA216">
        <v>804</v>
      </c>
      <c r="AC216">
        <f t="shared" si="32"/>
        <v>2025</v>
      </c>
      <c r="AD216">
        <f t="shared" si="33"/>
        <v>2025</v>
      </c>
      <c r="AE216">
        <f t="shared" si="34"/>
        <v>2025</v>
      </c>
      <c r="AF216">
        <f t="shared" si="35"/>
        <v>1</v>
      </c>
    </row>
    <row r="217" spans="1:32" x14ac:dyDescent="0.25">
      <c r="A217" s="59">
        <v>45673</v>
      </c>
      <c r="B217" s="2">
        <v>1203</v>
      </c>
      <c r="C217" s="19" t="s">
        <v>1</v>
      </c>
      <c r="D217" s="19" t="s">
        <v>2</v>
      </c>
      <c r="E217" s="19" t="s">
        <v>2</v>
      </c>
      <c r="F217" s="19" t="s">
        <v>137</v>
      </c>
      <c r="G217" s="19" t="s">
        <v>138</v>
      </c>
      <c r="H217" s="19" t="s">
        <v>797</v>
      </c>
      <c r="I217" s="19" t="s">
        <v>798</v>
      </c>
      <c r="J217" s="2" t="s">
        <v>2</v>
      </c>
      <c r="K217" s="20">
        <v>45673</v>
      </c>
      <c r="L217" s="20">
        <v>45674</v>
      </c>
      <c r="M217" s="22">
        <v>148</v>
      </c>
      <c r="N217" s="21">
        <v>157300</v>
      </c>
      <c r="O217" s="2" t="s">
        <v>3</v>
      </c>
      <c r="P217" s="2" t="s">
        <v>4</v>
      </c>
      <c r="Q217" s="2" t="s">
        <v>5</v>
      </c>
      <c r="R217" s="21">
        <f t="shared" si="27"/>
        <v>157300</v>
      </c>
      <c r="S217" s="21">
        <v>157300</v>
      </c>
      <c r="T217" s="5">
        <f t="shared" si="28"/>
        <v>15000</v>
      </c>
      <c r="V217">
        <f t="shared" si="29"/>
        <v>1</v>
      </c>
      <c r="W217">
        <f t="shared" si="30"/>
        <v>1</v>
      </c>
      <c r="X217" s="5">
        <f t="shared" si="31"/>
        <v>0</v>
      </c>
      <c r="Y217" s="2" t="s">
        <v>6</v>
      </c>
      <c r="Z217" s="2" t="s">
        <v>2</v>
      </c>
      <c r="AA217">
        <v>806</v>
      </c>
      <c r="AC217">
        <f t="shared" si="32"/>
        <v>2025</v>
      </c>
      <c r="AD217">
        <f t="shared" si="33"/>
        <v>2025</v>
      </c>
      <c r="AE217">
        <f t="shared" si="34"/>
        <v>2025</v>
      </c>
      <c r="AF217">
        <f t="shared" si="35"/>
        <v>1</v>
      </c>
    </row>
    <row r="218" spans="1:32" x14ac:dyDescent="0.25">
      <c r="A218" s="59">
        <v>45674</v>
      </c>
      <c r="B218" s="2">
        <v>1204</v>
      </c>
      <c r="C218" s="19" t="s">
        <v>680</v>
      </c>
      <c r="D218" s="19" t="s">
        <v>2</v>
      </c>
      <c r="E218" s="19" t="s">
        <v>2</v>
      </c>
      <c r="F218" s="19" t="s">
        <v>799</v>
      </c>
      <c r="G218" s="19" t="s">
        <v>800</v>
      </c>
      <c r="H218" s="19" t="s">
        <v>801</v>
      </c>
      <c r="I218" s="19" t="s">
        <v>802</v>
      </c>
      <c r="J218" s="2" t="s">
        <v>2</v>
      </c>
      <c r="K218" s="20">
        <v>45700</v>
      </c>
      <c r="L218" s="20">
        <v>45700</v>
      </c>
      <c r="M218" s="22">
        <v>800</v>
      </c>
      <c r="N218" s="21">
        <v>864000</v>
      </c>
      <c r="O218" s="2" t="s">
        <v>3</v>
      </c>
      <c r="P218" s="2" t="s">
        <v>146</v>
      </c>
      <c r="Q218" s="2" t="s">
        <v>147</v>
      </c>
      <c r="R218" s="21">
        <f t="shared" si="27"/>
        <v>0</v>
      </c>
      <c r="S218" s="21">
        <v>0</v>
      </c>
      <c r="T218" s="5">
        <f t="shared" si="28"/>
        <v>15000</v>
      </c>
      <c r="V218">
        <f t="shared" si="29"/>
        <v>2</v>
      </c>
      <c r="W218">
        <f t="shared" si="30"/>
        <v>1</v>
      </c>
      <c r="X218" s="5">
        <f t="shared" si="31"/>
        <v>0</v>
      </c>
      <c r="Y218" s="2" t="s">
        <v>6</v>
      </c>
      <c r="Z218" s="2" t="s">
        <v>2</v>
      </c>
      <c r="AC218">
        <f t="shared" si="32"/>
        <v>2025</v>
      </c>
      <c r="AD218">
        <f t="shared" si="33"/>
        <v>2025</v>
      </c>
      <c r="AE218">
        <f t="shared" si="34"/>
        <v>2025</v>
      </c>
      <c r="AF218">
        <f t="shared" si="35"/>
        <v>2</v>
      </c>
    </row>
    <row r="219" spans="1:32" x14ac:dyDescent="0.25">
      <c r="A219" s="59">
        <v>45678</v>
      </c>
      <c r="B219" s="2">
        <v>1205</v>
      </c>
      <c r="C219" s="19" t="s">
        <v>803</v>
      </c>
      <c r="D219" s="19" t="s">
        <v>2</v>
      </c>
      <c r="E219" s="19" t="s">
        <v>2</v>
      </c>
      <c r="F219" s="19" t="s">
        <v>400</v>
      </c>
      <c r="G219" s="19" t="s">
        <v>196</v>
      </c>
      <c r="H219" s="19" t="s">
        <v>804</v>
      </c>
      <c r="I219" s="19" t="s">
        <v>805</v>
      </c>
      <c r="J219" s="2" t="s">
        <v>2</v>
      </c>
      <c r="K219" s="20">
        <v>45678</v>
      </c>
      <c r="L219" s="20">
        <v>45678</v>
      </c>
      <c r="M219" s="22">
        <v>200</v>
      </c>
      <c r="N219" s="21">
        <v>212000</v>
      </c>
      <c r="O219" s="2" t="s">
        <v>76</v>
      </c>
      <c r="P219" s="2" t="s">
        <v>4</v>
      </c>
      <c r="Q219" s="2" t="s">
        <v>5</v>
      </c>
      <c r="R219" s="21">
        <f t="shared" si="27"/>
        <v>212000</v>
      </c>
      <c r="S219" s="21">
        <v>212000</v>
      </c>
      <c r="T219" s="5">
        <f t="shared" si="28"/>
        <v>15000</v>
      </c>
      <c r="V219">
        <f t="shared" si="29"/>
        <v>1</v>
      </c>
      <c r="W219">
        <f t="shared" si="30"/>
        <v>1</v>
      </c>
      <c r="X219" s="5">
        <f t="shared" si="31"/>
        <v>0</v>
      </c>
      <c r="Y219" s="2" t="s">
        <v>6</v>
      </c>
      <c r="Z219" s="2" t="s">
        <v>2</v>
      </c>
      <c r="AA219">
        <v>809</v>
      </c>
      <c r="AC219">
        <f t="shared" si="32"/>
        <v>2025</v>
      </c>
      <c r="AD219">
        <f t="shared" si="33"/>
        <v>2025</v>
      </c>
      <c r="AE219">
        <f t="shared" si="34"/>
        <v>2025</v>
      </c>
      <c r="AF219">
        <f t="shared" si="35"/>
        <v>1</v>
      </c>
    </row>
    <row r="220" spans="1:32" x14ac:dyDescent="0.25">
      <c r="A220" s="59">
        <v>45678</v>
      </c>
      <c r="B220" s="2">
        <v>1206</v>
      </c>
      <c r="C220" s="19" t="s">
        <v>402</v>
      </c>
      <c r="D220" s="19" t="s">
        <v>2</v>
      </c>
      <c r="E220" s="19" t="s">
        <v>2</v>
      </c>
      <c r="F220" s="19" t="s">
        <v>246</v>
      </c>
      <c r="G220" s="19" t="s">
        <v>108</v>
      </c>
      <c r="H220" s="19" t="s">
        <v>247</v>
      </c>
      <c r="I220" s="19" t="s">
        <v>806</v>
      </c>
      <c r="J220" s="2" t="s">
        <v>2</v>
      </c>
      <c r="K220" s="20">
        <v>45679</v>
      </c>
      <c r="L220" s="20">
        <v>45680</v>
      </c>
      <c r="M220" s="22">
        <v>200</v>
      </c>
      <c r="N220" s="21">
        <v>213400</v>
      </c>
      <c r="O220" s="2" t="s">
        <v>76</v>
      </c>
      <c r="P220" s="2" t="s">
        <v>4</v>
      </c>
      <c r="Q220" s="2" t="s">
        <v>5</v>
      </c>
      <c r="R220" s="21">
        <f t="shared" si="27"/>
        <v>213400</v>
      </c>
      <c r="S220" s="21">
        <v>213400</v>
      </c>
      <c r="T220" s="5">
        <f t="shared" si="28"/>
        <v>15000</v>
      </c>
      <c r="V220">
        <f t="shared" si="29"/>
        <v>1</v>
      </c>
      <c r="W220">
        <f t="shared" si="30"/>
        <v>1</v>
      </c>
      <c r="X220" s="5">
        <f t="shared" si="31"/>
        <v>0</v>
      </c>
      <c r="Y220" s="2" t="s">
        <v>6</v>
      </c>
      <c r="Z220" s="2" t="s">
        <v>2</v>
      </c>
      <c r="AA220">
        <v>810</v>
      </c>
      <c r="AC220">
        <f t="shared" si="32"/>
        <v>2025</v>
      </c>
      <c r="AD220">
        <f t="shared" si="33"/>
        <v>2025</v>
      </c>
      <c r="AE220">
        <f t="shared" si="34"/>
        <v>2025</v>
      </c>
      <c r="AF220">
        <f t="shared" si="35"/>
        <v>1</v>
      </c>
    </row>
    <row r="221" spans="1:32" x14ac:dyDescent="0.25">
      <c r="A221" s="59">
        <v>45680.125</v>
      </c>
      <c r="B221" s="2">
        <v>1207</v>
      </c>
      <c r="C221" s="19" t="s">
        <v>298</v>
      </c>
      <c r="D221" s="19" t="s">
        <v>2</v>
      </c>
      <c r="E221" s="19" t="s">
        <v>2</v>
      </c>
      <c r="F221" s="19" t="s">
        <v>807</v>
      </c>
      <c r="G221" s="19" t="s">
        <v>0</v>
      </c>
      <c r="H221" s="19" t="s">
        <v>808</v>
      </c>
      <c r="I221" s="19" t="s">
        <v>809</v>
      </c>
      <c r="J221" s="2" t="s">
        <v>2</v>
      </c>
      <c r="K221" s="20">
        <v>45693.125</v>
      </c>
      <c r="L221" s="20">
        <v>45693.125</v>
      </c>
      <c r="M221" s="22">
        <v>40</v>
      </c>
      <c r="N221" s="21">
        <v>40000</v>
      </c>
      <c r="O221" s="2" t="s">
        <v>76</v>
      </c>
      <c r="P221" s="2" t="s">
        <v>4</v>
      </c>
      <c r="Q221" s="2" t="s">
        <v>5</v>
      </c>
      <c r="R221" s="21">
        <f t="shared" si="27"/>
        <v>40000</v>
      </c>
      <c r="S221" s="21">
        <v>40000</v>
      </c>
      <c r="T221" s="5">
        <f t="shared" si="28"/>
        <v>15000</v>
      </c>
      <c r="V221">
        <f t="shared" si="29"/>
        <v>2</v>
      </c>
      <c r="W221">
        <f t="shared" si="30"/>
        <v>1</v>
      </c>
      <c r="X221" s="5">
        <f t="shared" si="31"/>
        <v>0</v>
      </c>
      <c r="Y221" s="2" t="s">
        <v>6</v>
      </c>
      <c r="Z221" s="2" t="s">
        <v>2</v>
      </c>
      <c r="AC221">
        <f t="shared" si="32"/>
        <v>2025</v>
      </c>
      <c r="AD221">
        <f t="shared" si="33"/>
        <v>2025</v>
      </c>
      <c r="AE221">
        <f t="shared" si="34"/>
        <v>2025</v>
      </c>
      <c r="AF221">
        <f t="shared" si="35"/>
        <v>2</v>
      </c>
    </row>
    <row r="222" spans="1:32" x14ac:dyDescent="0.25">
      <c r="A222" s="59">
        <v>45681</v>
      </c>
      <c r="B222" s="2">
        <v>1208</v>
      </c>
      <c r="C222" s="19" t="s">
        <v>1</v>
      </c>
      <c r="D222" s="19" t="s">
        <v>2</v>
      </c>
      <c r="E222" s="19" t="s">
        <v>2</v>
      </c>
      <c r="F222" s="19" t="s">
        <v>810</v>
      </c>
      <c r="G222" s="19" t="s">
        <v>138</v>
      </c>
      <c r="H222" s="19" t="s">
        <v>139</v>
      </c>
      <c r="I222" s="19" t="s">
        <v>811</v>
      </c>
      <c r="J222" s="2" t="s">
        <v>2</v>
      </c>
      <c r="K222" s="20">
        <v>45681</v>
      </c>
      <c r="L222" s="20">
        <v>45681</v>
      </c>
      <c r="M222" s="22">
        <v>140</v>
      </c>
      <c r="N222" s="21">
        <v>149660</v>
      </c>
      <c r="O222" s="2" t="s">
        <v>3</v>
      </c>
      <c r="P222" s="2" t="s">
        <v>4</v>
      </c>
      <c r="Q222" s="2" t="s">
        <v>5</v>
      </c>
      <c r="R222" s="21">
        <f t="shared" si="27"/>
        <v>149660</v>
      </c>
      <c r="S222" s="21">
        <v>149660</v>
      </c>
      <c r="T222" s="5">
        <f t="shared" si="28"/>
        <v>15000</v>
      </c>
      <c r="V222">
        <f t="shared" si="29"/>
        <v>1</v>
      </c>
      <c r="W222">
        <f t="shared" si="30"/>
        <v>1</v>
      </c>
      <c r="X222" s="5">
        <f t="shared" si="31"/>
        <v>0</v>
      </c>
      <c r="Y222" s="2" t="s">
        <v>6</v>
      </c>
      <c r="Z222" s="2" t="s">
        <v>2</v>
      </c>
      <c r="AA222">
        <v>813</v>
      </c>
      <c r="AC222">
        <f t="shared" si="32"/>
        <v>2025</v>
      </c>
      <c r="AD222">
        <f t="shared" si="33"/>
        <v>2025</v>
      </c>
      <c r="AE222">
        <f t="shared" si="34"/>
        <v>2025</v>
      </c>
      <c r="AF222">
        <f t="shared" si="35"/>
        <v>1</v>
      </c>
    </row>
    <row r="223" spans="1:32" x14ac:dyDescent="0.25">
      <c r="A223" s="59">
        <v>45681</v>
      </c>
      <c r="B223" s="2">
        <v>1209</v>
      </c>
      <c r="C223" s="19" t="s">
        <v>803</v>
      </c>
      <c r="D223" s="19" t="s">
        <v>2</v>
      </c>
      <c r="E223" s="19" t="s">
        <v>2</v>
      </c>
      <c r="F223" s="19" t="s">
        <v>595</v>
      </c>
      <c r="G223" s="19" t="s">
        <v>352</v>
      </c>
      <c r="H223" s="19" t="s">
        <v>432</v>
      </c>
      <c r="I223" s="19" t="s">
        <v>812</v>
      </c>
      <c r="J223" s="2" t="s">
        <v>2</v>
      </c>
      <c r="K223" s="20">
        <v>45681</v>
      </c>
      <c r="L223" s="20">
        <v>45681</v>
      </c>
      <c r="M223" s="22">
        <v>160</v>
      </c>
      <c r="N223" s="21">
        <v>187000</v>
      </c>
      <c r="O223" s="2" t="s">
        <v>76</v>
      </c>
      <c r="P223" s="2" t="s">
        <v>4</v>
      </c>
      <c r="Q223" s="2" t="s">
        <v>5</v>
      </c>
      <c r="R223" s="21">
        <f t="shared" si="27"/>
        <v>187000</v>
      </c>
      <c r="S223" s="21">
        <v>187000</v>
      </c>
      <c r="T223" s="5">
        <f t="shared" si="28"/>
        <v>15000</v>
      </c>
      <c r="V223">
        <f t="shared" si="29"/>
        <v>1</v>
      </c>
      <c r="W223">
        <f t="shared" si="30"/>
        <v>1</v>
      </c>
      <c r="X223" s="5">
        <f t="shared" si="31"/>
        <v>0</v>
      </c>
      <c r="Y223" s="2" t="s">
        <v>6</v>
      </c>
      <c r="Z223" s="2" t="s">
        <v>2</v>
      </c>
      <c r="AA223">
        <v>811</v>
      </c>
      <c r="AC223">
        <f t="shared" si="32"/>
        <v>2025</v>
      </c>
      <c r="AD223">
        <f t="shared" si="33"/>
        <v>2025</v>
      </c>
      <c r="AE223">
        <f t="shared" si="34"/>
        <v>2025</v>
      </c>
      <c r="AF223">
        <f t="shared" si="35"/>
        <v>1</v>
      </c>
    </row>
    <row r="224" spans="1:32" x14ac:dyDescent="0.25">
      <c r="A224" s="59">
        <v>45681</v>
      </c>
      <c r="B224" s="2">
        <v>1210</v>
      </c>
      <c r="C224" s="19" t="s">
        <v>373</v>
      </c>
      <c r="D224" s="19" t="s">
        <v>2</v>
      </c>
      <c r="E224" s="19" t="s">
        <v>2</v>
      </c>
      <c r="F224" s="19" t="s">
        <v>273</v>
      </c>
      <c r="G224" s="19" t="s">
        <v>352</v>
      </c>
      <c r="H224" s="19" t="s">
        <v>638</v>
      </c>
      <c r="I224" s="19" t="s">
        <v>813</v>
      </c>
      <c r="J224" s="2" t="s">
        <v>2</v>
      </c>
      <c r="K224" s="20">
        <v>45681</v>
      </c>
      <c r="L224" s="20">
        <v>45681</v>
      </c>
      <c r="M224" s="22">
        <v>180</v>
      </c>
      <c r="N224" s="21">
        <v>192420</v>
      </c>
      <c r="O224" s="2" t="s">
        <v>76</v>
      </c>
      <c r="P224" s="2" t="s">
        <v>4</v>
      </c>
      <c r="Q224" s="2" t="s">
        <v>5</v>
      </c>
      <c r="R224" s="21">
        <f t="shared" si="27"/>
        <v>192420</v>
      </c>
      <c r="S224" s="21">
        <v>192420</v>
      </c>
      <c r="T224" s="5">
        <f t="shared" si="28"/>
        <v>15000</v>
      </c>
      <c r="V224">
        <f t="shared" si="29"/>
        <v>1</v>
      </c>
      <c r="W224">
        <f t="shared" si="30"/>
        <v>1</v>
      </c>
      <c r="X224" s="5">
        <f t="shared" si="31"/>
        <v>0</v>
      </c>
      <c r="Y224" s="2" t="s">
        <v>6</v>
      </c>
      <c r="Z224" s="2" t="s">
        <v>2</v>
      </c>
      <c r="AA224">
        <v>812</v>
      </c>
      <c r="AC224">
        <f t="shared" si="32"/>
        <v>2025</v>
      </c>
      <c r="AD224">
        <f t="shared" si="33"/>
        <v>2025</v>
      </c>
      <c r="AE224">
        <f t="shared" si="34"/>
        <v>2025</v>
      </c>
      <c r="AF224">
        <f t="shared" si="35"/>
        <v>1</v>
      </c>
    </row>
    <row r="225" spans="1:32" x14ac:dyDescent="0.25">
      <c r="A225" s="59">
        <v>45684.125</v>
      </c>
      <c r="B225" s="2">
        <v>1211</v>
      </c>
      <c r="C225" s="19" t="s">
        <v>0</v>
      </c>
      <c r="D225" s="19" t="s">
        <v>112</v>
      </c>
      <c r="E225" s="19" t="s">
        <v>814</v>
      </c>
      <c r="F225" s="19" t="s">
        <v>815</v>
      </c>
      <c r="G225" s="19" t="s">
        <v>816</v>
      </c>
      <c r="H225" s="19" t="s">
        <v>817</v>
      </c>
      <c r="I225" s="19" t="s">
        <v>818</v>
      </c>
      <c r="J225" s="2" t="s">
        <v>819</v>
      </c>
      <c r="K225" s="20">
        <v>45688.125</v>
      </c>
      <c r="L225" s="20">
        <v>45695.125</v>
      </c>
      <c r="M225" s="22">
        <v>1230</v>
      </c>
      <c r="N225" s="21">
        <v>1299780</v>
      </c>
      <c r="O225" s="2" t="s">
        <v>76</v>
      </c>
      <c r="P225" s="2" t="s">
        <v>4</v>
      </c>
      <c r="Q225" s="2" t="s">
        <v>5</v>
      </c>
      <c r="R225" s="21">
        <f t="shared" si="27"/>
        <v>1299780</v>
      </c>
      <c r="S225" s="21">
        <v>1299780</v>
      </c>
      <c r="T225" s="5">
        <f t="shared" si="28"/>
        <v>15000</v>
      </c>
      <c r="V225">
        <f t="shared" si="29"/>
        <v>1</v>
      </c>
      <c r="W225">
        <f t="shared" si="30"/>
        <v>1</v>
      </c>
      <c r="X225" s="5">
        <f t="shared" si="31"/>
        <v>0</v>
      </c>
      <c r="Y225" s="2" t="s">
        <v>6</v>
      </c>
      <c r="Z225" s="2" t="s">
        <v>2</v>
      </c>
      <c r="AC225">
        <f t="shared" si="32"/>
        <v>2025</v>
      </c>
      <c r="AD225">
        <f t="shared" si="33"/>
        <v>2025</v>
      </c>
      <c r="AE225">
        <f t="shared" si="34"/>
        <v>2025</v>
      </c>
      <c r="AF225">
        <f t="shared" si="35"/>
        <v>2</v>
      </c>
    </row>
    <row r="226" spans="1:32" x14ac:dyDescent="0.25">
      <c r="A226" s="59">
        <v>45684</v>
      </c>
      <c r="B226" s="2">
        <v>1212</v>
      </c>
      <c r="C226" s="19" t="s">
        <v>820</v>
      </c>
      <c r="D226" s="19" t="s">
        <v>2</v>
      </c>
      <c r="E226" s="19" t="s">
        <v>2</v>
      </c>
      <c r="F226" s="19" t="s">
        <v>821</v>
      </c>
      <c r="G226" s="19" t="s">
        <v>822</v>
      </c>
      <c r="H226" s="19" t="s">
        <v>823</v>
      </c>
      <c r="I226" s="19" t="s">
        <v>824</v>
      </c>
      <c r="J226" s="2" t="s">
        <v>2</v>
      </c>
      <c r="K226" s="20">
        <v>45684</v>
      </c>
      <c r="L226" s="20">
        <v>45684</v>
      </c>
      <c r="M226" s="22">
        <v>60</v>
      </c>
      <c r="N226" s="21">
        <v>64000</v>
      </c>
      <c r="O226" s="2" t="s">
        <v>76</v>
      </c>
      <c r="P226" s="2" t="s">
        <v>4</v>
      </c>
      <c r="Q226" s="2" t="s">
        <v>5</v>
      </c>
      <c r="R226" s="21">
        <f t="shared" si="27"/>
        <v>64000</v>
      </c>
      <c r="S226" s="21">
        <v>64000</v>
      </c>
      <c r="T226" s="5">
        <f t="shared" si="28"/>
        <v>15000</v>
      </c>
      <c r="V226">
        <f t="shared" si="29"/>
        <v>1</v>
      </c>
      <c r="W226">
        <f t="shared" si="30"/>
        <v>1</v>
      </c>
      <c r="X226" s="5">
        <f t="shared" si="31"/>
        <v>0</v>
      </c>
      <c r="Y226" s="2" t="s">
        <v>6</v>
      </c>
      <c r="Z226" s="2" t="s">
        <v>2</v>
      </c>
      <c r="AA226">
        <v>814</v>
      </c>
      <c r="AC226">
        <f t="shared" si="32"/>
        <v>2025</v>
      </c>
      <c r="AD226">
        <f t="shared" si="33"/>
        <v>2025</v>
      </c>
      <c r="AE226">
        <f t="shared" si="34"/>
        <v>2025</v>
      </c>
      <c r="AF226">
        <f t="shared" si="35"/>
        <v>1</v>
      </c>
    </row>
    <row r="227" spans="1:32" x14ac:dyDescent="0.25">
      <c r="A227" s="59">
        <v>45684.125</v>
      </c>
      <c r="B227" s="2">
        <v>1213</v>
      </c>
      <c r="C227" s="19" t="s">
        <v>99</v>
      </c>
      <c r="D227" s="19" t="s">
        <v>2</v>
      </c>
      <c r="E227" s="19" t="s">
        <v>2</v>
      </c>
      <c r="F227" s="19" t="s">
        <v>620</v>
      </c>
      <c r="G227" s="19" t="s">
        <v>611</v>
      </c>
      <c r="H227" s="19" t="s">
        <v>621</v>
      </c>
      <c r="I227" s="19" t="s">
        <v>622</v>
      </c>
      <c r="J227" s="2" t="s">
        <v>2</v>
      </c>
      <c r="K227" s="20">
        <v>45763.125</v>
      </c>
      <c r="L227" s="20">
        <v>45691.125</v>
      </c>
      <c r="M227" s="22">
        <v>1000</v>
      </c>
      <c r="N227" s="21">
        <v>1080000</v>
      </c>
      <c r="O227" s="2" t="s">
        <v>76</v>
      </c>
      <c r="P227" s="2" t="s">
        <v>4</v>
      </c>
      <c r="Q227" s="2" t="s">
        <v>5</v>
      </c>
      <c r="R227" s="21">
        <f t="shared" si="27"/>
        <v>1080000</v>
      </c>
      <c r="S227" s="21">
        <v>1080000</v>
      </c>
      <c r="T227" s="5">
        <f t="shared" si="28"/>
        <v>15000</v>
      </c>
      <c r="V227">
        <f t="shared" si="29"/>
        <v>4</v>
      </c>
      <c r="W227">
        <f t="shared" si="30"/>
        <v>1</v>
      </c>
      <c r="X227" s="5">
        <f t="shared" si="31"/>
        <v>0</v>
      </c>
      <c r="Y227" s="2" t="s">
        <v>6</v>
      </c>
      <c r="Z227" s="2" t="s">
        <v>2</v>
      </c>
      <c r="AA227">
        <v>832</v>
      </c>
      <c r="AC227">
        <f t="shared" si="32"/>
        <v>2025</v>
      </c>
      <c r="AD227">
        <f t="shared" si="33"/>
        <v>2025</v>
      </c>
      <c r="AE227">
        <f t="shared" si="34"/>
        <v>2025</v>
      </c>
      <c r="AF227">
        <f t="shared" si="35"/>
        <v>2</v>
      </c>
    </row>
    <row r="228" spans="1:32" x14ac:dyDescent="0.25">
      <c r="A228" s="59">
        <v>45685.125</v>
      </c>
      <c r="B228" s="2">
        <v>1214</v>
      </c>
      <c r="C228" s="19" t="s">
        <v>825</v>
      </c>
      <c r="D228" s="19" t="s">
        <v>2</v>
      </c>
      <c r="E228" s="19" t="s">
        <v>2</v>
      </c>
      <c r="F228" s="19" t="s">
        <v>826</v>
      </c>
      <c r="G228" s="19" t="s">
        <v>827</v>
      </c>
      <c r="H228" s="19" t="s">
        <v>828</v>
      </c>
      <c r="I228" s="19" t="s">
        <v>829</v>
      </c>
      <c r="J228" s="2" t="s">
        <v>2</v>
      </c>
      <c r="K228" s="20">
        <v>45694.125</v>
      </c>
      <c r="L228" s="20">
        <v>45685.125</v>
      </c>
      <c r="M228" s="22">
        <v>220</v>
      </c>
      <c r="N228" s="21">
        <v>236500</v>
      </c>
      <c r="O228" s="2" t="s">
        <v>76</v>
      </c>
      <c r="P228" s="2" t="s">
        <v>4</v>
      </c>
      <c r="Q228" s="2" t="s">
        <v>5</v>
      </c>
      <c r="R228" s="21">
        <f t="shared" si="27"/>
        <v>236500</v>
      </c>
      <c r="S228" s="21">
        <v>236500</v>
      </c>
      <c r="T228" s="5">
        <f t="shared" si="28"/>
        <v>15000</v>
      </c>
      <c r="V228">
        <f t="shared" si="29"/>
        <v>2</v>
      </c>
      <c r="W228">
        <f t="shared" si="30"/>
        <v>1</v>
      </c>
      <c r="X228" s="5">
        <f t="shared" si="31"/>
        <v>0</v>
      </c>
      <c r="Y228" s="2" t="s">
        <v>6</v>
      </c>
      <c r="Z228" s="2" t="s">
        <v>2</v>
      </c>
      <c r="AA228">
        <v>815</v>
      </c>
      <c r="AC228">
        <f t="shared" si="32"/>
        <v>2025</v>
      </c>
      <c r="AD228">
        <f t="shared" si="33"/>
        <v>2025</v>
      </c>
      <c r="AE228">
        <f t="shared" si="34"/>
        <v>2025</v>
      </c>
      <c r="AF228">
        <f t="shared" si="35"/>
        <v>1</v>
      </c>
    </row>
    <row r="229" spans="1:32" x14ac:dyDescent="0.25">
      <c r="A229" s="59">
        <v>45685</v>
      </c>
      <c r="B229" s="2">
        <v>1215</v>
      </c>
      <c r="C229" s="19" t="s">
        <v>825</v>
      </c>
      <c r="D229" s="19" t="s">
        <v>2</v>
      </c>
      <c r="E229" s="19" t="s">
        <v>2</v>
      </c>
      <c r="F229" s="19" t="s">
        <v>385</v>
      </c>
      <c r="G229" s="19" t="s">
        <v>830</v>
      </c>
      <c r="H229" s="19" t="s">
        <v>831</v>
      </c>
      <c r="I229" s="19" t="s">
        <v>832</v>
      </c>
      <c r="J229" s="2" t="s">
        <v>2</v>
      </c>
      <c r="K229" s="20">
        <v>45691</v>
      </c>
      <c r="L229" s="20">
        <v>45685</v>
      </c>
      <c r="M229" s="22">
        <v>75</v>
      </c>
      <c r="N229" s="21">
        <v>80500</v>
      </c>
      <c r="O229" s="2" t="s">
        <v>76</v>
      </c>
      <c r="P229" s="2" t="s">
        <v>4</v>
      </c>
      <c r="Q229" s="2" t="s">
        <v>5</v>
      </c>
      <c r="R229" s="21">
        <f t="shared" si="27"/>
        <v>80500</v>
      </c>
      <c r="S229" s="21">
        <v>80500</v>
      </c>
      <c r="T229" s="5">
        <f t="shared" si="28"/>
        <v>15000</v>
      </c>
      <c r="V229">
        <f t="shared" si="29"/>
        <v>2</v>
      </c>
      <c r="W229">
        <f t="shared" si="30"/>
        <v>1</v>
      </c>
      <c r="X229" s="5">
        <f t="shared" si="31"/>
        <v>0</v>
      </c>
      <c r="Y229" s="2" t="s">
        <v>6</v>
      </c>
      <c r="Z229" s="2" t="s">
        <v>2</v>
      </c>
      <c r="AA229">
        <v>815</v>
      </c>
      <c r="AC229">
        <f t="shared" si="32"/>
        <v>2025</v>
      </c>
      <c r="AD229">
        <f t="shared" si="33"/>
        <v>2025</v>
      </c>
      <c r="AE229">
        <f t="shared" si="34"/>
        <v>2025</v>
      </c>
      <c r="AF229">
        <f t="shared" si="35"/>
        <v>1</v>
      </c>
    </row>
    <row r="230" spans="1:32" x14ac:dyDescent="0.25">
      <c r="A230" s="59">
        <v>45685</v>
      </c>
      <c r="B230" s="2">
        <v>1216</v>
      </c>
      <c r="C230" s="19" t="s">
        <v>402</v>
      </c>
      <c r="D230" s="19" t="s">
        <v>2</v>
      </c>
      <c r="E230" s="19" t="s">
        <v>2</v>
      </c>
      <c r="F230" s="19" t="s">
        <v>833</v>
      </c>
      <c r="G230" s="19" t="s">
        <v>834</v>
      </c>
      <c r="H230" s="19" t="s">
        <v>835</v>
      </c>
      <c r="I230" s="19" t="s">
        <v>836</v>
      </c>
      <c r="J230" s="2" t="s">
        <v>2</v>
      </c>
      <c r="K230" s="20">
        <v>45698</v>
      </c>
      <c r="L230" s="20">
        <v>45698</v>
      </c>
      <c r="M230" s="22">
        <v>900</v>
      </c>
      <c r="N230" s="21">
        <v>972000</v>
      </c>
      <c r="O230" s="2" t="s">
        <v>3</v>
      </c>
      <c r="P230" s="2" t="s">
        <v>146</v>
      </c>
      <c r="Q230" s="2" t="s">
        <v>147</v>
      </c>
      <c r="R230" s="21">
        <f t="shared" si="27"/>
        <v>0</v>
      </c>
      <c r="S230" s="21">
        <v>0</v>
      </c>
      <c r="T230" s="5">
        <f t="shared" si="28"/>
        <v>15000</v>
      </c>
      <c r="V230">
        <f t="shared" si="29"/>
        <v>2</v>
      </c>
      <c r="W230">
        <f t="shared" si="30"/>
        <v>1</v>
      </c>
      <c r="X230" s="5">
        <f t="shared" si="31"/>
        <v>0</v>
      </c>
      <c r="Y230" s="2" t="s">
        <v>6</v>
      </c>
      <c r="Z230" s="2" t="s">
        <v>2</v>
      </c>
      <c r="AC230">
        <f t="shared" si="32"/>
        <v>2025</v>
      </c>
      <c r="AD230">
        <f t="shared" si="33"/>
        <v>2025</v>
      </c>
      <c r="AE230">
        <f t="shared" si="34"/>
        <v>2025</v>
      </c>
      <c r="AF230">
        <f t="shared" si="35"/>
        <v>2</v>
      </c>
    </row>
    <row r="231" spans="1:32" x14ac:dyDescent="0.25">
      <c r="A231" s="59">
        <v>45688</v>
      </c>
      <c r="B231" s="2">
        <v>1217</v>
      </c>
      <c r="C231" s="19" t="s">
        <v>368</v>
      </c>
      <c r="D231" s="19" t="s">
        <v>2</v>
      </c>
      <c r="E231" s="19" t="s">
        <v>2</v>
      </c>
      <c r="F231" s="19" t="s">
        <v>837</v>
      </c>
      <c r="G231" s="19" t="s">
        <v>108</v>
      </c>
      <c r="H231" s="19" t="s">
        <v>838</v>
      </c>
      <c r="I231" s="19" t="s">
        <v>839</v>
      </c>
      <c r="J231" s="2" t="s">
        <v>2</v>
      </c>
      <c r="K231" s="20">
        <v>45691</v>
      </c>
      <c r="L231" s="20">
        <v>45691</v>
      </c>
      <c r="M231" s="22">
        <v>400</v>
      </c>
      <c r="N231" s="21">
        <v>432000</v>
      </c>
      <c r="O231" s="2" t="s">
        <v>3</v>
      </c>
      <c r="P231" s="2" t="s">
        <v>146</v>
      </c>
      <c r="Q231" s="2" t="s">
        <v>147</v>
      </c>
      <c r="R231" s="21">
        <f t="shared" si="27"/>
        <v>0</v>
      </c>
      <c r="S231" s="21">
        <v>0</v>
      </c>
      <c r="T231" s="5">
        <f t="shared" si="28"/>
        <v>15000</v>
      </c>
      <c r="V231">
        <f t="shared" si="29"/>
        <v>2</v>
      </c>
      <c r="W231">
        <f t="shared" si="30"/>
        <v>1</v>
      </c>
      <c r="X231" s="5">
        <f t="shared" si="31"/>
        <v>0</v>
      </c>
      <c r="Y231" s="2" t="s">
        <v>6</v>
      </c>
      <c r="Z231" s="2" t="s">
        <v>2</v>
      </c>
      <c r="AC231">
        <f t="shared" si="32"/>
        <v>2025</v>
      </c>
      <c r="AD231">
        <f t="shared" si="33"/>
        <v>2025</v>
      </c>
      <c r="AE231">
        <f t="shared" si="34"/>
        <v>2025</v>
      </c>
      <c r="AF231">
        <f t="shared" si="35"/>
        <v>2</v>
      </c>
    </row>
    <row r="232" spans="1:32" x14ac:dyDescent="0.25">
      <c r="A232" s="59">
        <v>45693</v>
      </c>
      <c r="B232" s="2">
        <v>1218</v>
      </c>
      <c r="C232" s="19" t="s">
        <v>162</v>
      </c>
      <c r="D232" s="19" t="s">
        <v>2</v>
      </c>
      <c r="E232" s="19" t="s">
        <v>2</v>
      </c>
      <c r="F232" s="19" t="s">
        <v>840</v>
      </c>
      <c r="G232" s="19" t="s">
        <v>285</v>
      </c>
      <c r="H232" s="19" t="s">
        <v>286</v>
      </c>
      <c r="I232" s="19" t="s">
        <v>841</v>
      </c>
      <c r="J232" s="2" t="s">
        <v>2</v>
      </c>
      <c r="K232" s="20">
        <v>45693</v>
      </c>
      <c r="L232" s="20">
        <v>45693</v>
      </c>
      <c r="M232" s="22">
        <v>35</v>
      </c>
      <c r="N232" s="21">
        <v>35000</v>
      </c>
      <c r="O232" s="2" t="s">
        <v>76</v>
      </c>
      <c r="P232" s="2" t="s">
        <v>4</v>
      </c>
      <c r="Q232" s="2" t="s">
        <v>5</v>
      </c>
      <c r="R232" s="21">
        <f t="shared" si="27"/>
        <v>35000</v>
      </c>
      <c r="S232" s="21">
        <v>35000</v>
      </c>
      <c r="T232" s="5">
        <f t="shared" si="28"/>
        <v>15000</v>
      </c>
      <c r="V232">
        <f t="shared" si="29"/>
        <v>2</v>
      </c>
      <c r="W232">
        <f t="shared" si="30"/>
        <v>2</v>
      </c>
      <c r="X232" s="5">
        <f t="shared" si="31"/>
        <v>0</v>
      </c>
      <c r="Y232" s="2" t="s">
        <v>6</v>
      </c>
      <c r="Z232" s="2" t="s">
        <v>2</v>
      </c>
      <c r="AC232">
        <f t="shared" si="32"/>
        <v>2025</v>
      </c>
      <c r="AD232">
        <f t="shared" si="33"/>
        <v>2025</v>
      </c>
      <c r="AE232">
        <f t="shared" si="34"/>
        <v>2025</v>
      </c>
      <c r="AF232">
        <f t="shared" si="35"/>
        <v>2</v>
      </c>
    </row>
    <row r="233" spans="1:32" x14ac:dyDescent="0.25">
      <c r="A233" s="59">
        <v>45693.125</v>
      </c>
      <c r="B233" s="2">
        <v>1219</v>
      </c>
      <c r="C233" s="19" t="s">
        <v>82</v>
      </c>
      <c r="D233" s="19" t="s">
        <v>2</v>
      </c>
      <c r="E233" s="19" t="s">
        <v>2</v>
      </c>
      <c r="F233" s="19" t="s">
        <v>842</v>
      </c>
      <c r="G233" s="19" t="s">
        <v>216</v>
      </c>
      <c r="H233" s="19" t="s">
        <v>217</v>
      </c>
      <c r="I233" s="19" t="s">
        <v>843</v>
      </c>
      <c r="J233" s="2" t="s">
        <v>2</v>
      </c>
      <c r="K233" s="20">
        <v>45693.125</v>
      </c>
      <c r="L233" s="20">
        <v>45735.125</v>
      </c>
      <c r="M233" s="22">
        <v>70</v>
      </c>
      <c r="N233" s="21">
        <v>72000</v>
      </c>
      <c r="O233" s="2" t="s">
        <v>76</v>
      </c>
      <c r="P233" s="2" t="s">
        <v>4</v>
      </c>
      <c r="Q233" s="2" t="s">
        <v>5</v>
      </c>
      <c r="R233" s="21">
        <f t="shared" si="27"/>
        <v>72000</v>
      </c>
      <c r="S233" s="21">
        <v>72000</v>
      </c>
      <c r="T233" s="5">
        <f t="shared" si="28"/>
        <v>15000</v>
      </c>
      <c r="V233">
        <f t="shared" si="29"/>
        <v>2</v>
      </c>
      <c r="W233">
        <f t="shared" si="30"/>
        <v>2</v>
      </c>
      <c r="X233" s="5">
        <f t="shared" si="31"/>
        <v>0</v>
      </c>
      <c r="Y233" s="2" t="s">
        <v>6</v>
      </c>
      <c r="Z233" s="2" t="s">
        <v>2</v>
      </c>
      <c r="AC233">
        <f t="shared" si="32"/>
        <v>2025</v>
      </c>
      <c r="AD233">
        <f t="shared" si="33"/>
        <v>2025</v>
      </c>
      <c r="AE233">
        <f t="shared" si="34"/>
        <v>2025</v>
      </c>
      <c r="AF233">
        <f t="shared" si="35"/>
        <v>3</v>
      </c>
    </row>
    <row r="234" spans="1:32" x14ac:dyDescent="0.25">
      <c r="A234" s="59">
        <v>45699.125</v>
      </c>
      <c r="B234" s="2">
        <v>1220</v>
      </c>
      <c r="C234" s="19" t="s">
        <v>844</v>
      </c>
      <c r="D234" s="19" t="s">
        <v>2</v>
      </c>
      <c r="E234" s="19" t="s">
        <v>2</v>
      </c>
      <c r="F234" s="19" t="s">
        <v>845</v>
      </c>
      <c r="G234" s="19" t="s">
        <v>318</v>
      </c>
      <c r="H234" s="19" t="s">
        <v>319</v>
      </c>
      <c r="I234" s="19" t="s">
        <v>846</v>
      </c>
      <c r="J234" s="2" t="s">
        <v>2</v>
      </c>
      <c r="K234" s="20">
        <v>45699.125</v>
      </c>
      <c r="L234" s="20">
        <v>45700.125</v>
      </c>
      <c r="M234" s="22">
        <v>70</v>
      </c>
      <c r="N234" s="21">
        <v>75500</v>
      </c>
      <c r="O234" s="2" t="s">
        <v>76</v>
      </c>
      <c r="P234" s="2" t="s">
        <v>4</v>
      </c>
      <c r="Q234" s="2" t="s">
        <v>5</v>
      </c>
      <c r="R234" s="21">
        <f t="shared" si="27"/>
        <v>75500</v>
      </c>
      <c r="S234" s="21">
        <v>75500</v>
      </c>
      <c r="T234" s="5">
        <f t="shared" si="28"/>
        <v>15000</v>
      </c>
      <c r="V234">
        <f t="shared" si="29"/>
        <v>2</v>
      </c>
      <c r="W234">
        <f t="shared" si="30"/>
        <v>2</v>
      </c>
      <c r="X234" s="5">
        <f t="shared" si="31"/>
        <v>0</v>
      </c>
      <c r="Y234" s="2" t="s">
        <v>6</v>
      </c>
      <c r="Z234" s="2" t="s">
        <v>2</v>
      </c>
      <c r="AA234">
        <v>816</v>
      </c>
      <c r="AC234">
        <f t="shared" si="32"/>
        <v>2025</v>
      </c>
      <c r="AD234">
        <f t="shared" si="33"/>
        <v>2025</v>
      </c>
      <c r="AE234">
        <f t="shared" si="34"/>
        <v>2025</v>
      </c>
      <c r="AF234">
        <f t="shared" si="35"/>
        <v>2</v>
      </c>
    </row>
    <row r="235" spans="1:32" x14ac:dyDescent="0.25">
      <c r="A235" s="59">
        <v>45699.125</v>
      </c>
      <c r="B235" s="2">
        <v>1221</v>
      </c>
      <c r="C235" s="19" t="s">
        <v>844</v>
      </c>
      <c r="D235" s="19" t="s">
        <v>2</v>
      </c>
      <c r="E235" s="19" t="s">
        <v>2</v>
      </c>
      <c r="F235" s="19" t="s">
        <v>845</v>
      </c>
      <c r="G235" s="19" t="s">
        <v>318</v>
      </c>
      <c r="H235" s="19" t="s">
        <v>319</v>
      </c>
      <c r="I235" s="19" t="s">
        <v>847</v>
      </c>
      <c r="J235" s="2" t="s">
        <v>2</v>
      </c>
      <c r="K235" s="20">
        <v>45699.125</v>
      </c>
      <c r="L235" s="20">
        <v>45700.125</v>
      </c>
      <c r="M235" s="22">
        <v>70</v>
      </c>
      <c r="N235" s="21">
        <v>75500</v>
      </c>
      <c r="O235" s="2" t="s">
        <v>76</v>
      </c>
      <c r="P235" s="2" t="s">
        <v>4</v>
      </c>
      <c r="Q235" s="2" t="s">
        <v>5</v>
      </c>
      <c r="R235" s="21">
        <f t="shared" si="27"/>
        <v>75500</v>
      </c>
      <c r="S235" s="21">
        <v>75500</v>
      </c>
      <c r="T235" s="5">
        <f t="shared" si="28"/>
        <v>15000</v>
      </c>
      <c r="V235">
        <f t="shared" si="29"/>
        <v>2</v>
      </c>
      <c r="W235">
        <f t="shared" si="30"/>
        <v>2</v>
      </c>
      <c r="X235" s="5">
        <f t="shared" si="31"/>
        <v>0</v>
      </c>
      <c r="Y235" s="2" t="s">
        <v>6</v>
      </c>
      <c r="Z235" s="2" t="s">
        <v>2</v>
      </c>
      <c r="AA235">
        <v>816</v>
      </c>
      <c r="AC235">
        <f t="shared" si="32"/>
        <v>2025</v>
      </c>
      <c r="AD235">
        <f t="shared" si="33"/>
        <v>2025</v>
      </c>
      <c r="AE235">
        <f t="shared" si="34"/>
        <v>2025</v>
      </c>
      <c r="AF235">
        <f t="shared" si="35"/>
        <v>2</v>
      </c>
    </row>
    <row r="236" spans="1:32" x14ac:dyDescent="0.25">
      <c r="A236" s="59">
        <v>45699.125</v>
      </c>
      <c r="B236" s="2">
        <v>1222</v>
      </c>
      <c r="C236" s="19" t="s">
        <v>844</v>
      </c>
      <c r="D236" s="19" t="s">
        <v>2</v>
      </c>
      <c r="E236" s="19" t="s">
        <v>2</v>
      </c>
      <c r="F236" s="19" t="s">
        <v>848</v>
      </c>
      <c r="G236" s="19" t="s">
        <v>318</v>
      </c>
      <c r="H236" s="19" t="s">
        <v>319</v>
      </c>
      <c r="I236" s="19" t="s">
        <v>849</v>
      </c>
      <c r="J236" s="2" t="s">
        <v>2</v>
      </c>
      <c r="K236" s="20">
        <v>45699.125</v>
      </c>
      <c r="L236" s="20">
        <v>45700.125</v>
      </c>
      <c r="M236" s="22">
        <v>70</v>
      </c>
      <c r="N236" s="21">
        <v>75500</v>
      </c>
      <c r="O236" s="2" t="s">
        <v>76</v>
      </c>
      <c r="P236" s="2" t="s">
        <v>4</v>
      </c>
      <c r="Q236" s="2" t="s">
        <v>5</v>
      </c>
      <c r="R236" s="21">
        <f t="shared" si="27"/>
        <v>75500</v>
      </c>
      <c r="S236" s="21">
        <v>75500</v>
      </c>
      <c r="T236" s="5">
        <f t="shared" si="28"/>
        <v>15000</v>
      </c>
      <c r="V236">
        <f t="shared" si="29"/>
        <v>2</v>
      </c>
      <c r="W236">
        <f t="shared" si="30"/>
        <v>2</v>
      </c>
      <c r="X236" s="5">
        <f t="shared" si="31"/>
        <v>0</v>
      </c>
      <c r="Y236" s="2" t="s">
        <v>6</v>
      </c>
      <c r="Z236" s="2" t="s">
        <v>2</v>
      </c>
      <c r="AA236">
        <v>816</v>
      </c>
      <c r="AC236">
        <f t="shared" si="32"/>
        <v>2025</v>
      </c>
      <c r="AD236">
        <f t="shared" si="33"/>
        <v>2025</v>
      </c>
      <c r="AE236">
        <f t="shared" si="34"/>
        <v>2025</v>
      </c>
      <c r="AF236">
        <f t="shared" si="35"/>
        <v>2</v>
      </c>
    </row>
    <row r="237" spans="1:32" x14ac:dyDescent="0.25">
      <c r="A237" s="59">
        <v>45699.125</v>
      </c>
      <c r="B237" s="2">
        <v>1223</v>
      </c>
      <c r="C237" s="19" t="s">
        <v>844</v>
      </c>
      <c r="D237" s="19" t="s">
        <v>2</v>
      </c>
      <c r="E237" s="19" t="s">
        <v>2</v>
      </c>
      <c r="F237" s="19" t="s">
        <v>317</v>
      </c>
      <c r="G237" s="19" t="s">
        <v>850</v>
      </c>
      <c r="H237" s="19" t="s">
        <v>851</v>
      </c>
      <c r="I237" s="19" t="s">
        <v>852</v>
      </c>
      <c r="J237" s="2" t="s">
        <v>2</v>
      </c>
      <c r="K237" s="20">
        <v>45699.125</v>
      </c>
      <c r="L237" s="20">
        <v>45700.125</v>
      </c>
      <c r="M237" s="22">
        <v>65</v>
      </c>
      <c r="N237" s="21">
        <v>70000</v>
      </c>
      <c r="O237" s="2" t="s">
        <v>76</v>
      </c>
      <c r="P237" s="2" t="s">
        <v>4</v>
      </c>
      <c r="Q237" s="2" t="s">
        <v>5</v>
      </c>
      <c r="R237" s="21">
        <f t="shared" si="27"/>
        <v>70000</v>
      </c>
      <c r="S237" s="21">
        <v>70000</v>
      </c>
      <c r="T237" s="5">
        <f t="shared" si="28"/>
        <v>15000</v>
      </c>
      <c r="V237">
        <f t="shared" si="29"/>
        <v>2</v>
      </c>
      <c r="W237">
        <f t="shared" si="30"/>
        <v>2</v>
      </c>
      <c r="X237" s="5">
        <f t="shared" si="31"/>
        <v>0</v>
      </c>
      <c r="Y237" s="2" t="s">
        <v>6</v>
      </c>
      <c r="Z237" s="2" t="s">
        <v>2</v>
      </c>
      <c r="AA237">
        <v>816</v>
      </c>
      <c r="AC237">
        <f t="shared" si="32"/>
        <v>2025</v>
      </c>
      <c r="AD237">
        <f t="shared" si="33"/>
        <v>2025</v>
      </c>
      <c r="AE237">
        <f t="shared" si="34"/>
        <v>2025</v>
      </c>
      <c r="AF237">
        <f t="shared" si="35"/>
        <v>2</v>
      </c>
    </row>
    <row r="238" spans="1:32" x14ac:dyDescent="0.25">
      <c r="A238" s="59">
        <v>45699.125</v>
      </c>
      <c r="B238" s="2">
        <v>1224</v>
      </c>
      <c r="C238" s="19" t="s">
        <v>844</v>
      </c>
      <c r="D238" s="19" t="s">
        <v>2</v>
      </c>
      <c r="E238" s="19" t="s">
        <v>2</v>
      </c>
      <c r="F238" s="19" t="s">
        <v>853</v>
      </c>
      <c r="G238" s="19" t="s">
        <v>318</v>
      </c>
      <c r="H238" s="19" t="s">
        <v>854</v>
      </c>
      <c r="I238" s="19" t="s">
        <v>855</v>
      </c>
      <c r="J238" s="2" t="s">
        <v>2</v>
      </c>
      <c r="K238" s="20">
        <v>45699.125</v>
      </c>
      <c r="L238" s="20">
        <v>45700.125</v>
      </c>
      <c r="M238" s="22">
        <v>50</v>
      </c>
      <c r="N238" s="21">
        <v>54000</v>
      </c>
      <c r="O238" s="2" t="s">
        <v>76</v>
      </c>
      <c r="P238" s="2" t="s">
        <v>4</v>
      </c>
      <c r="Q238" s="2" t="s">
        <v>5</v>
      </c>
      <c r="R238" s="21">
        <f t="shared" si="27"/>
        <v>54000</v>
      </c>
      <c r="S238" s="21">
        <v>54000</v>
      </c>
      <c r="T238" s="5">
        <f t="shared" si="28"/>
        <v>15000</v>
      </c>
      <c r="V238">
        <f t="shared" si="29"/>
        <v>2</v>
      </c>
      <c r="W238">
        <f t="shared" si="30"/>
        <v>2</v>
      </c>
      <c r="X238" s="5">
        <f t="shared" si="31"/>
        <v>0</v>
      </c>
      <c r="Y238" s="2" t="s">
        <v>6</v>
      </c>
      <c r="Z238" s="2" t="s">
        <v>2</v>
      </c>
      <c r="AA238">
        <v>817</v>
      </c>
      <c r="AC238">
        <f t="shared" si="32"/>
        <v>2025</v>
      </c>
      <c r="AD238">
        <f t="shared" si="33"/>
        <v>2025</v>
      </c>
      <c r="AE238">
        <f t="shared" si="34"/>
        <v>2025</v>
      </c>
      <c r="AF238">
        <f t="shared" si="35"/>
        <v>2</v>
      </c>
    </row>
    <row r="239" spans="1:32" x14ac:dyDescent="0.25">
      <c r="A239" s="59">
        <v>45699.125</v>
      </c>
      <c r="B239" s="2">
        <v>1225</v>
      </c>
      <c r="C239" s="19" t="s">
        <v>844</v>
      </c>
      <c r="D239" s="19" t="s">
        <v>2</v>
      </c>
      <c r="E239" s="19" t="s">
        <v>2</v>
      </c>
      <c r="F239" s="19" t="s">
        <v>856</v>
      </c>
      <c r="G239" s="19" t="s">
        <v>231</v>
      </c>
      <c r="H239" s="19" t="s">
        <v>857</v>
      </c>
      <c r="I239" s="19" t="s">
        <v>858</v>
      </c>
      <c r="J239" s="2" t="s">
        <v>2</v>
      </c>
      <c r="K239" s="20">
        <v>45699.125</v>
      </c>
      <c r="L239" s="20">
        <v>45700.125</v>
      </c>
      <c r="M239" s="22">
        <v>40</v>
      </c>
      <c r="N239" s="21">
        <v>43000</v>
      </c>
      <c r="O239" s="2" t="s">
        <v>76</v>
      </c>
      <c r="P239" s="2" t="s">
        <v>4</v>
      </c>
      <c r="Q239" s="2" t="s">
        <v>5</v>
      </c>
      <c r="R239" s="21">
        <f t="shared" si="27"/>
        <v>43000</v>
      </c>
      <c r="S239" s="21">
        <v>43000</v>
      </c>
      <c r="T239" s="5">
        <f t="shared" si="28"/>
        <v>15000</v>
      </c>
      <c r="V239">
        <f t="shared" si="29"/>
        <v>2</v>
      </c>
      <c r="W239">
        <f t="shared" si="30"/>
        <v>2</v>
      </c>
      <c r="X239" s="5">
        <f t="shared" si="31"/>
        <v>0</v>
      </c>
      <c r="Y239" s="2" t="s">
        <v>6</v>
      </c>
      <c r="Z239" s="2" t="s">
        <v>2</v>
      </c>
      <c r="AA239">
        <v>817</v>
      </c>
      <c r="AC239">
        <f t="shared" si="32"/>
        <v>2025</v>
      </c>
      <c r="AD239">
        <f t="shared" si="33"/>
        <v>2025</v>
      </c>
      <c r="AE239">
        <f t="shared" si="34"/>
        <v>2025</v>
      </c>
      <c r="AF239">
        <f t="shared" si="35"/>
        <v>2</v>
      </c>
    </row>
    <row r="240" spans="1:32" x14ac:dyDescent="0.25">
      <c r="A240" s="59">
        <v>45699.125</v>
      </c>
      <c r="B240" s="2">
        <v>1226</v>
      </c>
      <c r="C240" s="19" t="s">
        <v>844</v>
      </c>
      <c r="D240" s="19" t="s">
        <v>2</v>
      </c>
      <c r="E240" s="19" t="s">
        <v>2</v>
      </c>
      <c r="F240" s="19" t="s">
        <v>859</v>
      </c>
      <c r="G240" s="19" t="s">
        <v>860</v>
      </c>
      <c r="H240" s="19" t="s">
        <v>861</v>
      </c>
      <c r="I240" s="19" t="s">
        <v>862</v>
      </c>
      <c r="J240" s="2" t="s">
        <v>2</v>
      </c>
      <c r="K240" s="20">
        <v>45699.125</v>
      </c>
      <c r="L240" s="20">
        <v>45700.125</v>
      </c>
      <c r="M240" s="22">
        <v>40</v>
      </c>
      <c r="N240" s="21">
        <v>43000</v>
      </c>
      <c r="O240" s="2" t="s">
        <v>76</v>
      </c>
      <c r="P240" s="2" t="s">
        <v>4</v>
      </c>
      <c r="Q240" s="2" t="s">
        <v>5</v>
      </c>
      <c r="R240" s="21">
        <f t="shared" si="27"/>
        <v>43000</v>
      </c>
      <c r="S240" s="21">
        <v>43000</v>
      </c>
      <c r="T240" s="5">
        <f t="shared" si="28"/>
        <v>15000</v>
      </c>
      <c r="V240">
        <f t="shared" si="29"/>
        <v>2</v>
      </c>
      <c r="W240">
        <f t="shared" si="30"/>
        <v>2</v>
      </c>
      <c r="X240" s="5">
        <f t="shared" si="31"/>
        <v>0</v>
      </c>
      <c r="Y240" s="2" t="s">
        <v>6</v>
      </c>
      <c r="Z240" s="2" t="s">
        <v>2</v>
      </c>
      <c r="AA240">
        <v>817</v>
      </c>
      <c r="AC240">
        <f t="shared" si="32"/>
        <v>2025</v>
      </c>
      <c r="AD240">
        <f t="shared" si="33"/>
        <v>2025</v>
      </c>
      <c r="AE240">
        <f t="shared" si="34"/>
        <v>2025</v>
      </c>
      <c r="AF240">
        <f t="shared" si="35"/>
        <v>2</v>
      </c>
    </row>
    <row r="241" spans="1:32" x14ac:dyDescent="0.25">
      <c r="A241" s="59">
        <v>45699.125</v>
      </c>
      <c r="B241" s="2">
        <v>1227</v>
      </c>
      <c r="C241" s="19" t="s">
        <v>844</v>
      </c>
      <c r="D241" s="19" t="s">
        <v>2</v>
      </c>
      <c r="E241" s="19" t="s">
        <v>2</v>
      </c>
      <c r="F241" s="19" t="s">
        <v>848</v>
      </c>
      <c r="G241" s="19" t="s">
        <v>318</v>
      </c>
      <c r="H241" s="19" t="s">
        <v>319</v>
      </c>
      <c r="I241" s="19" t="s">
        <v>863</v>
      </c>
      <c r="J241" s="2" t="s">
        <v>2</v>
      </c>
      <c r="K241" s="20">
        <v>45699.125</v>
      </c>
      <c r="L241" s="20">
        <v>45700.125</v>
      </c>
      <c r="M241" s="22">
        <v>9</v>
      </c>
      <c r="N241" s="21">
        <v>10000</v>
      </c>
      <c r="O241" s="2" t="s">
        <v>76</v>
      </c>
      <c r="P241" s="2" t="s">
        <v>307</v>
      </c>
      <c r="Q241" s="2" t="s">
        <v>5</v>
      </c>
      <c r="R241" s="21">
        <f t="shared" si="27"/>
        <v>10000</v>
      </c>
      <c r="S241" s="21">
        <v>10000</v>
      </c>
      <c r="T241" s="5">
        <f t="shared" si="28"/>
        <v>15000</v>
      </c>
      <c r="V241">
        <f t="shared" si="29"/>
        <v>2</v>
      </c>
      <c r="W241">
        <f t="shared" si="30"/>
        <v>2</v>
      </c>
      <c r="X241" s="5">
        <f t="shared" si="31"/>
        <v>0</v>
      </c>
      <c r="Y241" s="2" t="s">
        <v>6</v>
      </c>
      <c r="Z241" s="2" t="s">
        <v>2</v>
      </c>
      <c r="AC241">
        <f t="shared" si="32"/>
        <v>2025</v>
      </c>
      <c r="AD241">
        <f t="shared" si="33"/>
        <v>2025</v>
      </c>
      <c r="AE241">
        <f t="shared" si="34"/>
        <v>2025</v>
      </c>
      <c r="AF241">
        <f t="shared" si="35"/>
        <v>2</v>
      </c>
    </row>
    <row r="242" spans="1:32" x14ac:dyDescent="0.25">
      <c r="A242" s="59">
        <v>45699.125</v>
      </c>
      <c r="B242" s="2">
        <v>1228</v>
      </c>
      <c r="C242" s="19" t="s">
        <v>844</v>
      </c>
      <c r="D242" s="19" t="s">
        <v>2</v>
      </c>
      <c r="E242" s="19" t="s">
        <v>2</v>
      </c>
      <c r="F242" s="19" t="s">
        <v>864</v>
      </c>
      <c r="G242" s="19" t="s">
        <v>318</v>
      </c>
      <c r="H242" s="19" t="s">
        <v>865</v>
      </c>
      <c r="I242" s="19" t="s">
        <v>866</v>
      </c>
      <c r="J242" s="2" t="s">
        <v>2</v>
      </c>
      <c r="K242" s="20">
        <v>45699.125</v>
      </c>
      <c r="L242" s="20">
        <v>45700.125</v>
      </c>
      <c r="M242" s="22">
        <v>9</v>
      </c>
      <c r="N242" s="21">
        <v>10000</v>
      </c>
      <c r="O242" s="2" t="s">
        <v>76</v>
      </c>
      <c r="P242" s="2" t="s">
        <v>307</v>
      </c>
      <c r="Q242" s="2" t="s">
        <v>5</v>
      </c>
      <c r="R242" s="21">
        <f t="shared" si="27"/>
        <v>10000</v>
      </c>
      <c r="S242" s="21">
        <v>10000</v>
      </c>
      <c r="T242" s="5">
        <f t="shared" si="28"/>
        <v>15000</v>
      </c>
      <c r="V242">
        <f t="shared" si="29"/>
        <v>2</v>
      </c>
      <c r="W242">
        <f t="shared" si="30"/>
        <v>2</v>
      </c>
      <c r="X242" s="5">
        <f t="shared" si="31"/>
        <v>0</v>
      </c>
      <c r="Y242" s="2" t="s">
        <v>6</v>
      </c>
      <c r="Z242" s="2" t="s">
        <v>2</v>
      </c>
      <c r="AC242">
        <f t="shared" si="32"/>
        <v>2025</v>
      </c>
      <c r="AD242">
        <f t="shared" si="33"/>
        <v>2025</v>
      </c>
      <c r="AE242">
        <f t="shared" si="34"/>
        <v>2025</v>
      </c>
      <c r="AF242">
        <f t="shared" si="35"/>
        <v>2</v>
      </c>
    </row>
    <row r="243" spans="1:32" x14ac:dyDescent="0.25">
      <c r="A243" s="59">
        <v>45699.125</v>
      </c>
      <c r="B243" s="2">
        <v>1229</v>
      </c>
      <c r="C243" s="19" t="s">
        <v>844</v>
      </c>
      <c r="D243" s="19" t="s">
        <v>2</v>
      </c>
      <c r="E243" s="19" t="s">
        <v>2</v>
      </c>
      <c r="F243" s="19" t="s">
        <v>867</v>
      </c>
      <c r="G243" s="19" t="s">
        <v>164</v>
      </c>
      <c r="H243" s="19" t="s">
        <v>868</v>
      </c>
      <c r="I243" s="19" t="s">
        <v>869</v>
      </c>
      <c r="J243" s="2" t="s">
        <v>2</v>
      </c>
      <c r="K243" s="20">
        <v>45699.125</v>
      </c>
      <c r="L243" s="20">
        <v>45700.125</v>
      </c>
      <c r="M243" s="22">
        <v>9</v>
      </c>
      <c r="N243" s="21">
        <v>10000</v>
      </c>
      <c r="O243" s="2" t="s">
        <v>76</v>
      </c>
      <c r="P243" s="2" t="s">
        <v>307</v>
      </c>
      <c r="Q243" s="2" t="s">
        <v>5</v>
      </c>
      <c r="R243" s="21">
        <f t="shared" si="27"/>
        <v>10000</v>
      </c>
      <c r="S243" s="21">
        <v>10000</v>
      </c>
      <c r="T243" s="5">
        <f t="shared" si="28"/>
        <v>15000</v>
      </c>
      <c r="V243">
        <f t="shared" si="29"/>
        <v>2</v>
      </c>
      <c r="W243">
        <f t="shared" si="30"/>
        <v>2</v>
      </c>
      <c r="X243" s="5">
        <f t="shared" si="31"/>
        <v>0</v>
      </c>
      <c r="Y243" s="2" t="s">
        <v>6</v>
      </c>
      <c r="Z243" s="2" t="s">
        <v>2</v>
      </c>
      <c r="AC243">
        <f t="shared" si="32"/>
        <v>2025</v>
      </c>
      <c r="AD243">
        <f t="shared" si="33"/>
        <v>2025</v>
      </c>
      <c r="AE243">
        <f t="shared" si="34"/>
        <v>2025</v>
      </c>
      <c r="AF243">
        <f t="shared" si="35"/>
        <v>2</v>
      </c>
    </row>
    <row r="244" spans="1:32" x14ac:dyDescent="0.25">
      <c r="A244" s="59">
        <v>45700.125</v>
      </c>
      <c r="B244" s="2">
        <v>1230</v>
      </c>
      <c r="C244" s="19" t="s">
        <v>0</v>
      </c>
      <c r="D244" s="19" t="s">
        <v>112</v>
      </c>
      <c r="E244" s="19" t="s">
        <v>870</v>
      </c>
      <c r="F244" s="19" t="s">
        <v>871</v>
      </c>
      <c r="G244" s="19" t="s">
        <v>872</v>
      </c>
      <c r="H244" s="19" t="s">
        <v>873</v>
      </c>
      <c r="I244" s="19" t="s">
        <v>874</v>
      </c>
      <c r="J244" s="2" t="s">
        <v>875</v>
      </c>
      <c r="K244" s="20">
        <v>45700.125</v>
      </c>
      <c r="L244" s="20">
        <v>45707.125</v>
      </c>
      <c r="M244" s="22">
        <v>365</v>
      </c>
      <c r="N244" s="21">
        <v>385200</v>
      </c>
      <c r="O244" s="2" t="s">
        <v>76</v>
      </c>
      <c r="P244" s="2" t="s">
        <v>4</v>
      </c>
      <c r="Q244" s="2" t="s">
        <v>5</v>
      </c>
      <c r="R244" s="21">
        <f t="shared" si="27"/>
        <v>385200</v>
      </c>
      <c r="S244" s="21">
        <v>385200</v>
      </c>
      <c r="T244" s="5">
        <f t="shared" si="28"/>
        <v>15000</v>
      </c>
      <c r="V244">
        <f t="shared" si="29"/>
        <v>2</v>
      </c>
      <c r="W244">
        <f t="shared" si="30"/>
        <v>2</v>
      </c>
      <c r="X244" s="5">
        <f t="shared" si="31"/>
        <v>0</v>
      </c>
      <c r="Y244" s="2" t="s">
        <v>6</v>
      </c>
      <c r="Z244" s="2" t="s">
        <v>2</v>
      </c>
      <c r="AC244">
        <f t="shared" si="32"/>
        <v>2025</v>
      </c>
      <c r="AD244">
        <f t="shared" si="33"/>
        <v>2025</v>
      </c>
      <c r="AE244">
        <f t="shared" si="34"/>
        <v>2025</v>
      </c>
      <c r="AF244">
        <f t="shared" si="35"/>
        <v>2</v>
      </c>
    </row>
    <row r="245" spans="1:32" x14ac:dyDescent="0.25">
      <c r="A245" s="59">
        <v>45700.125</v>
      </c>
      <c r="B245" s="2">
        <v>1231</v>
      </c>
      <c r="C245" s="19" t="s">
        <v>0</v>
      </c>
      <c r="D245" s="19" t="s">
        <v>112</v>
      </c>
      <c r="E245" s="19" t="s">
        <v>870</v>
      </c>
      <c r="F245" s="19" t="s">
        <v>876</v>
      </c>
      <c r="G245" s="19" t="s">
        <v>310</v>
      </c>
      <c r="H245" s="19" t="s">
        <v>877</v>
      </c>
      <c r="I245" s="19" t="s">
        <v>878</v>
      </c>
      <c r="J245" s="2" t="s">
        <v>879</v>
      </c>
      <c r="K245" s="20">
        <v>45708.125</v>
      </c>
      <c r="L245" s="20">
        <v>45714.125</v>
      </c>
      <c r="M245" s="22">
        <v>0</v>
      </c>
      <c r="N245" s="21">
        <v>0</v>
      </c>
      <c r="O245" s="2" t="s">
        <v>76</v>
      </c>
      <c r="P245" s="2" t="s">
        <v>307</v>
      </c>
      <c r="Q245" s="2" t="s">
        <v>5</v>
      </c>
      <c r="R245" s="21">
        <f t="shared" si="27"/>
        <v>0</v>
      </c>
      <c r="S245" s="21">
        <v>0</v>
      </c>
      <c r="T245" s="5">
        <f t="shared" si="28"/>
        <v>15000</v>
      </c>
      <c r="V245">
        <f t="shared" si="29"/>
        <v>2</v>
      </c>
      <c r="W245">
        <f t="shared" si="30"/>
        <v>2</v>
      </c>
      <c r="X245" s="5">
        <f t="shared" si="31"/>
        <v>0</v>
      </c>
      <c r="Y245" s="2" t="s">
        <v>6</v>
      </c>
      <c r="Z245" s="2" t="s">
        <v>2</v>
      </c>
      <c r="AC245">
        <f t="shared" si="32"/>
        <v>2025</v>
      </c>
      <c r="AD245">
        <f t="shared" si="33"/>
        <v>2025</v>
      </c>
      <c r="AE245">
        <f t="shared" si="34"/>
        <v>2025</v>
      </c>
      <c r="AF245">
        <f t="shared" si="35"/>
        <v>2</v>
      </c>
    </row>
    <row r="246" spans="1:32" x14ac:dyDescent="0.25">
      <c r="A246" s="59">
        <v>45705.125</v>
      </c>
      <c r="B246" s="2">
        <v>1232</v>
      </c>
      <c r="C246" s="19" t="s">
        <v>0</v>
      </c>
      <c r="D246" s="19" t="s">
        <v>112</v>
      </c>
      <c r="E246" s="19" t="s">
        <v>814</v>
      </c>
      <c r="F246" s="19" t="s">
        <v>880</v>
      </c>
      <c r="G246" s="19" t="s">
        <v>881</v>
      </c>
      <c r="H246" s="19" t="s">
        <v>882</v>
      </c>
      <c r="I246" s="19" t="s">
        <v>883</v>
      </c>
      <c r="J246" s="2" t="s">
        <v>884</v>
      </c>
      <c r="K246" s="20">
        <v>45705.125</v>
      </c>
      <c r="L246" s="20">
        <v>45708.125</v>
      </c>
      <c r="M246" s="22">
        <v>1245</v>
      </c>
      <c r="N246" s="21">
        <v>1472420</v>
      </c>
      <c r="O246" s="2" t="s">
        <v>76</v>
      </c>
      <c r="P246" s="2" t="s">
        <v>4</v>
      </c>
      <c r="Q246" s="2" t="s">
        <v>5</v>
      </c>
      <c r="R246" s="21">
        <f t="shared" si="27"/>
        <v>1472420</v>
      </c>
      <c r="S246" s="21">
        <v>1472420</v>
      </c>
      <c r="T246" s="5">
        <f t="shared" si="28"/>
        <v>15000</v>
      </c>
      <c r="V246">
        <f t="shared" si="29"/>
        <v>2</v>
      </c>
      <c r="W246">
        <f t="shared" si="30"/>
        <v>2</v>
      </c>
      <c r="X246" s="5">
        <f t="shared" si="31"/>
        <v>0</v>
      </c>
      <c r="Y246" s="2" t="s">
        <v>6</v>
      </c>
      <c r="Z246" s="2" t="s">
        <v>2</v>
      </c>
      <c r="AC246">
        <f t="shared" si="32"/>
        <v>2025</v>
      </c>
      <c r="AD246">
        <f t="shared" si="33"/>
        <v>2025</v>
      </c>
      <c r="AE246">
        <f t="shared" si="34"/>
        <v>2025</v>
      </c>
      <c r="AF246">
        <f t="shared" si="35"/>
        <v>2</v>
      </c>
    </row>
    <row r="247" spans="1:32" x14ac:dyDescent="0.25">
      <c r="A247" s="59">
        <v>45708.125</v>
      </c>
      <c r="B247" s="2">
        <v>1233</v>
      </c>
      <c r="C247" s="19" t="s">
        <v>885</v>
      </c>
      <c r="D247" s="19" t="s">
        <v>2</v>
      </c>
      <c r="E247" s="19" t="s">
        <v>2</v>
      </c>
      <c r="F247" s="19" t="s">
        <v>885</v>
      </c>
      <c r="G247" s="19" t="s">
        <v>886</v>
      </c>
      <c r="H247" s="19" t="s">
        <v>887</v>
      </c>
      <c r="I247" s="19" t="s">
        <v>888</v>
      </c>
      <c r="J247" s="2" t="s">
        <v>2</v>
      </c>
      <c r="K247" s="20">
        <v>45733.125</v>
      </c>
      <c r="L247" s="20">
        <v>45720.125</v>
      </c>
      <c r="M247" s="22">
        <v>663</v>
      </c>
      <c r="N247" s="21">
        <v>730500</v>
      </c>
      <c r="O247" s="2" t="s">
        <v>76</v>
      </c>
      <c r="P247" s="2" t="s">
        <v>4</v>
      </c>
      <c r="Q247" s="2" t="s">
        <v>5</v>
      </c>
      <c r="R247" s="21">
        <f t="shared" si="27"/>
        <v>730500</v>
      </c>
      <c r="S247" s="21">
        <v>730500</v>
      </c>
      <c r="T247" s="5">
        <f t="shared" si="28"/>
        <v>15000</v>
      </c>
      <c r="V247">
        <f t="shared" si="29"/>
        <v>3</v>
      </c>
      <c r="W247">
        <f t="shared" si="30"/>
        <v>2</v>
      </c>
      <c r="X247" s="5">
        <f t="shared" si="31"/>
        <v>0</v>
      </c>
      <c r="Y247" s="2" t="s">
        <v>6</v>
      </c>
      <c r="Z247" s="2" t="s">
        <v>2</v>
      </c>
      <c r="AA247">
        <v>822</v>
      </c>
      <c r="AC247">
        <f t="shared" si="32"/>
        <v>2025</v>
      </c>
      <c r="AD247">
        <f t="shared" si="33"/>
        <v>2025</v>
      </c>
      <c r="AE247">
        <f t="shared" si="34"/>
        <v>2025</v>
      </c>
      <c r="AF247">
        <f t="shared" si="35"/>
        <v>3</v>
      </c>
    </row>
    <row r="248" spans="1:32" x14ac:dyDescent="0.25">
      <c r="A248" s="59">
        <v>45709.125</v>
      </c>
      <c r="B248" s="2">
        <v>1234</v>
      </c>
      <c r="C248" s="19" t="s">
        <v>368</v>
      </c>
      <c r="D248" s="19" t="s">
        <v>2</v>
      </c>
      <c r="E248" s="19" t="s">
        <v>2</v>
      </c>
      <c r="F248" s="19" t="s">
        <v>889</v>
      </c>
      <c r="G248" s="19" t="s">
        <v>108</v>
      </c>
      <c r="H248" s="19" t="s">
        <v>890</v>
      </c>
      <c r="I248" s="19" t="s">
        <v>891</v>
      </c>
      <c r="J248" s="2" t="s">
        <v>2</v>
      </c>
      <c r="K248" s="20">
        <v>45726.125</v>
      </c>
      <c r="L248" s="20">
        <v>45720.125</v>
      </c>
      <c r="M248" s="22">
        <v>270</v>
      </c>
      <c r="N248" s="21">
        <v>297000</v>
      </c>
      <c r="O248" s="2" t="s">
        <v>76</v>
      </c>
      <c r="P248" s="2" t="s">
        <v>4</v>
      </c>
      <c r="Q248" s="2" t="s">
        <v>5</v>
      </c>
      <c r="R248" s="21">
        <f t="shared" si="27"/>
        <v>297000</v>
      </c>
      <c r="S248" s="21">
        <v>297000</v>
      </c>
      <c r="T248" s="5">
        <f t="shared" si="28"/>
        <v>15000</v>
      </c>
      <c r="V248">
        <f t="shared" si="29"/>
        <v>3</v>
      </c>
      <c r="W248">
        <f t="shared" si="30"/>
        <v>2</v>
      </c>
      <c r="X248" s="5">
        <f t="shared" si="31"/>
        <v>0</v>
      </c>
      <c r="Y248" s="2" t="s">
        <v>6</v>
      </c>
      <c r="Z248" s="2" t="s">
        <v>2</v>
      </c>
      <c r="AA248">
        <v>819</v>
      </c>
      <c r="AC248">
        <f t="shared" si="32"/>
        <v>2025</v>
      </c>
      <c r="AD248">
        <f t="shared" si="33"/>
        <v>2025</v>
      </c>
      <c r="AE248">
        <f t="shared" si="34"/>
        <v>2025</v>
      </c>
      <c r="AF248">
        <f t="shared" si="35"/>
        <v>3</v>
      </c>
    </row>
    <row r="249" spans="1:32" x14ac:dyDescent="0.25">
      <c r="A249" s="59">
        <v>45709.125</v>
      </c>
      <c r="B249" s="2">
        <v>1235</v>
      </c>
      <c r="C249" s="19" t="s">
        <v>368</v>
      </c>
      <c r="D249" s="19" t="s">
        <v>2</v>
      </c>
      <c r="E249" s="19" t="s">
        <v>2</v>
      </c>
      <c r="F249" s="19" t="s">
        <v>892</v>
      </c>
      <c r="G249" s="19" t="s">
        <v>893</v>
      </c>
      <c r="H249" s="19" t="s">
        <v>894</v>
      </c>
      <c r="I249" s="19" t="s">
        <v>895</v>
      </c>
      <c r="J249" s="2" t="s">
        <v>2</v>
      </c>
      <c r="K249" s="20">
        <v>45726.125</v>
      </c>
      <c r="L249" s="20">
        <v>45720.125</v>
      </c>
      <c r="M249" s="22">
        <v>110</v>
      </c>
      <c r="N249" s="21">
        <v>110000</v>
      </c>
      <c r="O249" s="2" t="s">
        <v>76</v>
      </c>
      <c r="P249" s="2" t="s">
        <v>4</v>
      </c>
      <c r="Q249" s="2" t="s">
        <v>5</v>
      </c>
      <c r="R249" s="21">
        <f t="shared" si="27"/>
        <v>110000</v>
      </c>
      <c r="S249" s="21">
        <v>110000</v>
      </c>
      <c r="T249" s="5">
        <f t="shared" si="28"/>
        <v>15000</v>
      </c>
      <c r="V249">
        <f t="shared" si="29"/>
        <v>3</v>
      </c>
      <c r="W249">
        <f t="shared" si="30"/>
        <v>2</v>
      </c>
      <c r="X249" s="5">
        <f t="shared" si="31"/>
        <v>0</v>
      </c>
      <c r="Y249" s="2" t="s">
        <v>6</v>
      </c>
      <c r="Z249" s="2" t="s">
        <v>2</v>
      </c>
      <c r="AA249">
        <v>819</v>
      </c>
      <c r="AC249">
        <f t="shared" si="32"/>
        <v>2025</v>
      </c>
      <c r="AD249">
        <f t="shared" si="33"/>
        <v>2025</v>
      </c>
      <c r="AE249">
        <f t="shared" si="34"/>
        <v>2025</v>
      </c>
      <c r="AF249">
        <f t="shared" si="35"/>
        <v>3</v>
      </c>
    </row>
    <row r="250" spans="1:32" x14ac:dyDescent="0.25">
      <c r="A250" s="59">
        <v>45714.125</v>
      </c>
      <c r="B250" s="2">
        <v>1236</v>
      </c>
      <c r="C250" s="19" t="s">
        <v>757</v>
      </c>
      <c r="D250" s="19" t="s">
        <v>2</v>
      </c>
      <c r="E250" s="19" t="s">
        <v>2</v>
      </c>
      <c r="F250" s="19" t="s">
        <v>187</v>
      </c>
      <c r="G250" s="19" t="s">
        <v>758</v>
      </c>
      <c r="H250" s="19" t="s">
        <v>759</v>
      </c>
      <c r="I250" s="19" t="s">
        <v>760</v>
      </c>
      <c r="J250" s="2" t="s">
        <v>2</v>
      </c>
      <c r="K250" s="20">
        <v>45726.125</v>
      </c>
      <c r="L250" s="20">
        <v>45720.125</v>
      </c>
      <c r="M250" s="22">
        <v>80</v>
      </c>
      <c r="N250" s="21">
        <v>88000</v>
      </c>
      <c r="O250" s="2" t="s">
        <v>76</v>
      </c>
      <c r="P250" s="2" t="s">
        <v>4</v>
      </c>
      <c r="Q250" s="2" t="s">
        <v>5</v>
      </c>
      <c r="R250" s="21">
        <f t="shared" si="27"/>
        <v>88000</v>
      </c>
      <c r="S250" s="21">
        <v>88000</v>
      </c>
      <c r="T250" s="5">
        <f t="shared" si="28"/>
        <v>15000</v>
      </c>
      <c r="V250">
        <f t="shared" si="29"/>
        <v>3</v>
      </c>
      <c r="W250">
        <f t="shared" si="30"/>
        <v>2</v>
      </c>
      <c r="X250" s="5">
        <f t="shared" si="31"/>
        <v>0</v>
      </c>
      <c r="Y250" s="2" t="s">
        <v>6</v>
      </c>
      <c r="Z250" s="2" t="s">
        <v>2</v>
      </c>
      <c r="AA250">
        <v>818</v>
      </c>
      <c r="AC250">
        <f t="shared" si="32"/>
        <v>2025</v>
      </c>
      <c r="AD250">
        <f t="shared" si="33"/>
        <v>2025</v>
      </c>
      <c r="AE250">
        <f t="shared" si="34"/>
        <v>2025</v>
      </c>
      <c r="AF250">
        <f t="shared" si="35"/>
        <v>3</v>
      </c>
    </row>
    <row r="251" spans="1:32" x14ac:dyDescent="0.25">
      <c r="A251" s="59">
        <v>45714.125</v>
      </c>
      <c r="B251" s="2">
        <v>1237</v>
      </c>
      <c r="C251" s="19" t="s">
        <v>713</v>
      </c>
      <c r="D251" s="19" t="s">
        <v>2</v>
      </c>
      <c r="E251" s="19" t="s">
        <v>2</v>
      </c>
      <c r="F251" s="19" t="s">
        <v>422</v>
      </c>
      <c r="G251" s="19" t="s">
        <v>335</v>
      </c>
      <c r="H251" s="19" t="s">
        <v>896</v>
      </c>
      <c r="I251" s="19" t="s">
        <v>897</v>
      </c>
      <c r="J251" s="2" t="s">
        <v>2</v>
      </c>
      <c r="K251" s="20">
        <v>45721.125</v>
      </c>
      <c r="L251" s="20">
        <v>45734.125</v>
      </c>
      <c r="M251" s="22">
        <v>0</v>
      </c>
      <c r="N251" s="21">
        <v>0</v>
      </c>
      <c r="O251" s="2" t="s">
        <v>3</v>
      </c>
      <c r="P251" s="2" t="s">
        <v>307</v>
      </c>
      <c r="Q251" s="2" t="s">
        <v>5</v>
      </c>
      <c r="R251" s="21">
        <f t="shared" si="27"/>
        <v>0</v>
      </c>
      <c r="S251" s="21">
        <v>0</v>
      </c>
      <c r="T251" s="5">
        <f t="shared" si="28"/>
        <v>15000</v>
      </c>
      <c r="V251">
        <f t="shared" si="29"/>
        <v>3</v>
      </c>
      <c r="W251">
        <f t="shared" si="30"/>
        <v>2</v>
      </c>
      <c r="X251" s="5">
        <f t="shared" si="31"/>
        <v>0</v>
      </c>
      <c r="Y251" s="2" t="s">
        <v>6</v>
      </c>
      <c r="Z251" s="2" t="s">
        <v>2</v>
      </c>
      <c r="AC251">
        <f t="shared" si="32"/>
        <v>2025</v>
      </c>
      <c r="AD251">
        <f t="shared" si="33"/>
        <v>2025</v>
      </c>
      <c r="AE251">
        <f t="shared" si="34"/>
        <v>2025</v>
      </c>
      <c r="AF251">
        <f t="shared" si="35"/>
        <v>3</v>
      </c>
    </row>
    <row r="252" spans="1:32" x14ac:dyDescent="0.25">
      <c r="A252" s="59">
        <v>45715.125</v>
      </c>
      <c r="B252" s="2">
        <v>1238</v>
      </c>
      <c r="C252" s="19" t="s">
        <v>898</v>
      </c>
      <c r="D252" s="19" t="s">
        <v>2</v>
      </c>
      <c r="E252" s="19" t="s">
        <v>2</v>
      </c>
      <c r="F252" s="19" t="s">
        <v>899</v>
      </c>
      <c r="G252" s="19" t="s">
        <v>900</v>
      </c>
      <c r="H252" s="19" t="s">
        <v>901</v>
      </c>
      <c r="I252" s="19" t="s">
        <v>902</v>
      </c>
      <c r="J252" s="2" t="s">
        <v>2</v>
      </c>
      <c r="K252" s="20">
        <v>45737.125</v>
      </c>
      <c r="L252" s="20">
        <v>45722.125</v>
      </c>
      <c r="M252" s="22">
        <v>293</v>
      </c>
      <c r="N252" s="21">
        <v>267000</v>
      </c>
      <c r="O252" s="2" t="s">
        <v>76</v>
      </c>
      <c r="P252" s="2" t="s">
        <v>4</v>
      </c>
      <c r="Q252" s="2" t="s">
        <v>5</v>
      </c>
      <c r="R252" s="21">
        <f t="shared" si="27"/>
        <v>267000</v>
      </c>
      <c r="S252" s="21">
        <v>267000</v>
      </c>
      <c r="T252" s="5">
        <f t="shared" si="28"/>
        <v>15000</v>
      </c>
      <c r="V252">
        <f t="shared" si="29"/>
        <v>3</v>
      </c>
      <c r="W252">
        <f t="shared" si="30"/>
        <v>2</v>
      </c>
      <c r="X252" s="5">
        <f t="shared" si="31"/>
        <v>0</v>
      </c>
      <c r="Y252" s="2" t="s">
        <v>6</v>
      </c>
      <c r="Z252" s="2" t="s">
        <v>2</v>
      </c>
      <c r="AC252">
        <f t="shared" si="32"/>
        <v>2025</v>
      </c>
      <c r="AD252">
        <f t="shared" si="33"/>
        <v>2025</v>
      </c>
      <c r="AE252">
        <f t="shared" si="34"/>
        <v>2025</v>
      </c>
      <c r="AF252">
        <f t="shared" si="35"/>
        <v>3</v>
      </c>
    </row>
    <row r="253" spans="1:32" x14ac:dyDescent="0.25">
      <c r="A253" s="59">
        <v>45727.125</v>
      </c>
      <c r="B253" s="2">
        <v>1239</v>
      </c>
      <c r="C253" s="19" t="s">
        <v>903</v>
      </c>
      <c r="D253" s="19" t="s">
        <v>2</v>
      </c>
      <c r="E253" s="19" t="s">
        <v>2</v>
      </c>
      <c r="F253" s="19" t="s">
        <v>904</v>
      </c>
      <c r="G253" s="19" t="s">
        <v>108</v>
      </c>
      <c r="H253" s="19" t="s">
        <v>905</v>
      </c>
      <c r="I253" s="19" t="s">
        <v>906</v>
      </c>
      <c r="J253" s="2" t="s">
        <v>2</v>
      </c>
      <c r="K253" s="20">
        <v>45729.125</v>
      </c>
      <c r="L253" s="20">
        <v>45729.125</v>
      </c>
      <c r="M253" s="22">
        <v>200</v>
      </c>
      <c r="N253" s="21">
        <v>224500</v>
      </c>
      <c r="O253" s="2" t="s">
        <v>76</v>
      </c>
      <c r="P253" s="2" t="s">
        <v>146</v>
      </c>
      <c r="Q253" s="2" t="s">
        <v>147</v>
      </c>
      <c r="R253" s="21">
        <f t="shared" si="27"/>
        <v>0</v>
      </c>
      <c r="S253" s="21">
        <v>0</v>
      </c>
      <c r="T253" s="5">
        <f t="shared" si="28"/>
        <v>15000</v>
      </c>
      <c r="V253">
        <f t="shared" si="29"/>
        <v>3</v>
      </c>
      <c r="W253">
        <f t="shared" si="30"/>
        <v>3</v>
      </c>
      <c r="X253" s="5">
        <f t="shared" si="31"/>
        <v>0</v>
      </c>
      <c r="Y253" s="2" t="s">
        <v>6</v>
      </c>
      <c r="Z253" s="2" t="s">
        <v>2</v>
      </c>
      <c r="AC253">
        <f t="shared" si="32"/>
        <v>2025</v>
      </c>
      <c r="AD253">
        <f t="shared" si="33"/>
        <v>2025</v>
      </c>
      <c r="AE253">
        <f t="shared" si="34"/>
        <v>2025</v>
      </c>
      <c r="AF253">
        <f t="shared" si="35"/>
        <v>3</v>
      </c>
    </row>
    <row r="254" spans="1:32" x14ac:dyDescent="0.25">
      <c r="A254" s="59">
        <v>45727.125</v>
      </c>
      <c r="B254" s="2">
        <v>1240</v>
      </c>
      <c r="C254" s="19" t="s">
        <v>537</v>
      </c>
      <c r="D254" s="19" t="s">
        <v>2</v>
      </c>
      <c r="E254" s="19" t="s">
        <v>2</v>
      </c>
      <c r="F254" s="19" t="s">
        <v>389</v>
      </c>
      <c r="G254" s="19" t="s">
        <v>95</v>
      </c>
      <c r="H254" s="19" t="s">
        <v>105</v>
      </c>
      <c r="I254" s="19" t="s">
        <v>907</v>
      </c>
      <c r="J254" s="2" t="s">
        <v>2</v>
      </c>
      <c r="K254" s="20">
        <v>45727.125</v>
      </c>
      <c r="L254" s="20">
        <v>45729.125</v>
      </c>
      <c r="M254" s="22">
        <v>170</v>
      </c>
      <c r="N254" s="21">
        <v>195500</v>
      </c>
      <c r="O254" s="2" t="s">
        <v>76</v>
      </c>
      <c r="P254" s="2" t="s">
        <v>4</v>
      </c>
      <c r="Q254" s="2" t="s">
        <v>5</v>
      </c>
      <c r="R254" s="21">
        <f t="shared" si="27"/>
        <v>195500</v>
      </c>
      <c r="S254" s="21">
        <v>195500</v>
      </c>
      <c r="T254" s="5">
        <f t="shared" si="28"/>
        <v>15000</v>
      </c>
      <c r="V254">
        <f t="shared" si="29"/>
        <v>3</v>
      </c>
      <c r="W254">
        <f t="shared" si="30"/>
        <v>3</v>
      </c>
      <c r="X254" s="5">
        <f t="shared" si="31"/>
        <v>0</v>
      </c>
      <c r="Y254" s="2" t="s">
        <v>6</v>
      </c>
      <c r="Z254" s="2" t="s">
        <v>2</v>
      </c>
      <c r="AA254">
        <v>820</v>
      </c>
      <c r="AC254">
        <f t="shared" si="32"/>
        <v>2025</v>
      </c>
      <c r="AD254">
        <f t="shared" si="33"/>
        <v>2025</v>
      </c>
      <c r="AE254">
        <f t="shared" si="34"/>
        <v>2025</v>
      </c>
      <c r="AF254">
        <f t="shared" si="35"/>
        <v>3</v>
      </c>
    </row>
    <row r="255" spans="1:32" x14ac:dyDescent="0.25">
      <c r="A255" s="59">
        <v>45727.125</v>
      </c>
      <c r="B255" s="2">
        <v>1241</v>
      </c>
      <c r="C255" s="19" t="s">
        <v>537</v>
      </c>
      <c r="D255" s="19" t="s">
        <v>2</v>
      </c>
      <c r="E255" s="19" t="s">
        <v>2</v>
      </c>
      <c r="F255" s="19" t="s">
        <v>400</v>
      </c>
      <c r="G255" s="19" t="s">
        <v>95</v>
      </c>
      <c r="H255" s="19" t="s">
        <v>105</v>
      </c>
      <c r="I255" s="19" t="s">
        <v>908</v>
      </c>
      <c r="J255" s="2" t="s">
        <v>2</v>
      </c>
      <c r="K255" s="20">
        <v>45746.125</v>
      </c>
      <c r="L255" s="20">
        <v>45746.125</v>
      </c>
      <c r="M255" s="22">
        <v>150</v>
      </c>
      <c r="N255" s="21">
        <v>170500</v>
      </c>
      <c r="O255" s="2" t="s">
        <v>76</v>
      </c>
      <c r="P255" s="2" t="s">
        <v>4</v>
      </c>
      <c r="Q255" s="2" t="s">
        <v>5</v>
      </c>
      <c r="R255" s="21">
        <f t="shared" si="27"/>
        <v>170500</v>
      </c>
      <c r="S255" s="21">
        <v>170500</v>
      </c>
      <c r="T255" s="5">
        <f t="shared" si="28"/>
        <v>15000</v>
      </c>
      <c r="V255">
        <f t="shared" si="29"/>
        <v>3</v>
      </c>
      <c r="W255">
        <f t="shared" si="30"/>
        <v>3</v>
      </c>
      <c r="X255" s="5">
        <f t="shared" si="31"/>
        <v>0</v>
      </c>
      <c r="Y255" s="2" t="s">
        <v>6</v>
      </c>
      <c r="Z255" s="2" t="s">
        <v>2</v>
      </c>
      <c r="AA255">
        <v>820</v>
      </c>
      <c r="AC255">
        <f t="shared" si="32"/>
        <v>2025</v>
      </c>
      <c r="AD255">
        <f t="shared" si="33"/>
        <v>2025</v>
      </c>
      <c r="AE255">
        <f t="shared" si="34"/>
        <v>2025</v>
      </c>
      <c r="AF255">
        <f t="shared" si="35"/>
        <v>3</v>
      </c>
    </row>
    <row r="256" spans="1:32" x14ac:dyDescent="0.25">
      <c r="A256" s="59">
        <v>45729.125</v>
      </c>
      <c r="B256" s="2">
        <v>1242</v>
      </c>
      <c r="C256" s="19" t="s">
        <v>219</v>
      </c>
      <c r="D256" s="19" t="s">
        <v>2</v>
      </c>
      <c r="E256" s="19" t="s">
        <v>2</v>
      </c>
      <c r="F256" s="19" t="s">
        <v>909</v>
      </c>
      <c r="G256" s="19" t="s">
        <v>910</v>
      </c>
      <c r="H256" s="19" t="s">
        <v>911</v>
      </c>
      <c r="I256" s="19" t="s">
        <v>912</v>
      </c>
      <c r="J256" s="2" t="s">
        <v>2</v>
      </c>
      <c r="K256" s="20">
        <v>45729.125</v>
      </c>
      <c r="L256" s="20">
        <v>45730.125</v>
      </c>
      <c r="M256" s="22">
        <v>240</v>
      </c>
      <c r="N256" s="21">
        <v>264000</v>
      </c>
      <c r="O256" s="2" t="s">
        <v>76</v>
      </c>
      <c r="P256" s="2" t="s">
        <v>4</v>
      </c>
      <c r="Q256" s="2" t="s">
        <v>5</v>
      </c>
      <c r="R256" s="21">
        <f t="shared" si="27"/>
        <v>264000</v>
      </c>
      <c r="S256" s="21">
        <v>264000</v>
      </c>
      <c r="T256" s="5">
        <f t="shared" si="28"/>
        <v>15000</v>
      </c>
      <c r="V256">
        <f t="shared" si="29"/>
        <v>3</v>
      </c>
      <c r="W256">
        <f t="shared" si="30"/>
        <v>3</v>
      </c>
      <c r="X256" s="5">
        <f t="shared" si="31"/>
        <v>0</v>
      </c>
      <c r="Y256" s="2" t="s">
        <v>6</v>
      </c>
      <c r="Z256" s="2" t="s">
        <v>2</v>
      </c>
      <c r="AA256">
        <v>821</v>
      </c>
      <c r="AC256">
        <f t="shared" si="32"/>
        <v>2025</v>
      </c>
      <c r="AD256">
        <f t="shared" si="33"/>
        <v>2025</v>
      </c>
      <c r="AE256">
        <f t="shared" si="34"/>
        <v>2025</v>
      </c>
      <c r="AF256">
        <f t="shared" si="35"/>
        <v>3</v>
      </c>
    </row>
    <row r="257" spans="1:32" x14ac:dyDescent="0.25">
      <c r="A257" s="59">
        <v>45734.125</v>
      </c>
      <c r="B257" s="2">
        <v>1243</v>
      </c>
      <c r="C257" s="19" t="s">
        <v>913</v>
      </c>
      <c r="D257" s="19" t="s">
        <v>2</v>
      </c>
      <c r="E257" s="19" t="s">
        <v>2</v>
      </c>
      <c r="F257" s="19" t="s">
        <v>914</v>
      </c>
      <c r="G257" s="19" t="s">
        <v>915</v>
      </c>
      <c r="H257" s="19" t="s">
        <v>916</v>
      </c>
      <c r="I257" s="19" t="s">
        <v>917</v>
      </c>
      <c r="J257" s="2" t="s">
        <v>2</v>
      </c>
      <c r="K257" s="20">
        <v>45734.125</v>
      </c>
      <c r="L257" s="20"/>
      <c r="M257" s="22">
        <v>100</v>
      </c>
      <c r="N257" s="21">
        <v>111000</v>
      </c>
      <c r="O257" s="2" t="s">
        <v>3</v>
      </c>
      <c r="P257" s="2" t="s">
        <v>129</v>
      </c>
      <c r="Q257" s="2" t="s">
        <v>98</v>
      </c>
      <c r="R257" s="21">
        <f t="shared" si="27"/>
        <v>0</v>
      </c>
      <c r="S257" s="21">
        <v>0</v>
      </c>
      <c r="T257" s="5">
        <f t="shared" si="28"/>
        <v>15000</v>
      </c>
      <c r="V257">
        <f t="shared" si="29"/>
        <v>3</v>
      </c>
      <c r="W257">
        <f t="shared" si="30"/>
        <v>3</v>
      </c>
      <c r="X257" s="5">
        <f t="shared" si="31"/>
        <v>0</v>
      </c>
      <c r="Y257" s="2" t="s">
        <v>6</v>
      </c>
      <c r="Z257" s="2" t="s">
        <v>2</v>
      </c>
      <c r="AC257">
        <f t="shared" si="32"/>
        <v>2025</v>
      </c>
      <c r="AD257">
        <f t="shared" si="33"/>
        <v>2025</v>
      </c>
      <c r="AE257" t="str">
        <f t="shared" si="34"/>
        <v/>
      </c>
      <c r="AF257" t="str">
        <f t="shared" si="35"/>
        <v/>
      </c>
    </row>
    <row r="258" spans="1:32" x14ac:dyDescent="0.25">
      <c r="A258" s="59">
        <v>45734.125</v>
      </c>
      <c r="B258" s="2">
        <v>1244</v>
      </c>
      <c r="C258" s="19" t="s">
        <v>913</v>
      </c>
      <c r="D258" s="19" t="s">
        <v>2</v>
      </c>
      <c r="E258" s="19" t="s">
        <v>2</v>
      </c>
      <c r="F258" s="19" t="s">
        <v>914</v>
      </c>
      <c r="G258" s="19" t="s">
        <v>915</v>
      </c>
      <c r="H258" s="19" t="s">
        <v>916</v>
      </c>
      <c r="I258" s="19" t="s">
        <v>918</v>
      </c>
      <c r="J258" s="2" t="s">
        <v>2</v>
      </c>
      <c r="K258" s="20">
        <v>45735.125</v>
      </c>
      <c r="L258" s="20">
        <v>45735.125</v>
      </c>
      <c r="M258" s="22">
        <v>100</v>
      </c>
      <c r="N258" s="21">
        <v>111000</v>
      </c>
      <c r="O258" s="2" t="s">
        <v>76</v>
      </c>
      <c r="P258" s="2" t="s">
        <v>4</v>
      </c>
      <c r="Q258" s="2" t="s">
        <v>5</v>
      </c>
      <c r="R258" s="21">
        <f t="shared" ref="R258:R321" si="36">IF(Q258="Aceptado",N258,0)</f>
        <v>111000</v>
      </c>
      <c r="S258" s="21">
        <v>111000</v>
      </c>
      <c r="T258" s="5">
        <f t="shared" ref="T258:T321" si="37">IFERROR(+T257+R258-S258,0)</f>
        <v>15000</v>
      </c>
      <c r="V258">
        <f t="shared" ref="V258:V289" si="38">IF(NOT(ISBLANK(K258)),MONTH(K258),"")</f>
        <v>3</v>
      </c>
      <c r="W258">
        <f t="shared" ref="W258:W289" si="39">IF(NOT(ISBLANK(A258)),MONTH(A258),"")</f>
        <v>3</v>
      </c>
      <c r="X258" s="5">
        <f t="shared" ref="X258:X289" si="40">IFERROR(+S258-R258,0)</f>
        <v>0</v>
      </c>
      <c r="Y258" s="2" t="s">
        <v>6</v>
      </c>
      <c r="Z258" s="2" t="s">
        <v>2</v>
      </c>
      <c r="AA258">
        <v>823</v>
      </c>
      <c r="AC258">
        <f t="shared" ref="AC258:AC289" si="41">IF(NOT(ISBLANK(K258)),YEAR(K258),"")</f>
        <v>2025</v>
      </c>
      <c r="AD258">
        <f t="shared" ref="AD258:AD289" si="42">IF(NOT(ISBLANK(A258)),YEAR(A258),"")</f>
        <v>2025</v>
      </c>
      <c r="AE258">
        <f t="shared" ref="AE258:AE289" si="43">IF(NOT(ISBLANK(L258)),YEAR(L258),"")</f>
        <v>2025</v>
      </c>
      <c r="AF258">
        <f t="shared" ref="AF258:AF289" si="44">IF(NOT(ISBLANK(L258)),MONTH(L258),"")</f>
        <v>3</v>
      </c>
    </row>
    <row r="259" spans="1:32" x14ac:dyDescent="0.25">
      <c r="A259" s="59">
        <v>45734.125</v>
      </c>
      <c r="B259" s="2">
        <v>1245</v>
      </c>
      <c r="C259" s="19" t="s">
        <v>913</v>
      </c>
      <c r="D259" s="19" t="s">
        <v>2</v>
      </c>
      <c r="E259" s="19" t="s">
        <v>2</v>
      </c>
      <c r="F259" s="19" t="s">
        <v>450</v>
      </c>
      <c r="G259" s="19" t="s">
        <v>919</v>
      </c>
      <c r="H259" s="19" t="s">
        <v>920</v>
      </c>
      <c r="I259" s="19" t="s">
        <v>921</v>
      </c>
      <c r="J259" s="2" t="s">
        <v>2</v>
      </c>
      <c r="K259" s="20">
        <v>45736.125</v>
      </c>
      <c r="L259" s="20">
        <v>45736.125</v>
      </c>
      <c r="M259" s="22">
        <v>140</v>
      </c>
      <c r="N259" s="21">
        <v>154000</v>
      </c>
      <c r="O259" s="2" t="s">
        <v>76</v>
      </c>
      <c r="P259" s="2" t="s">
        <v>4</v>
      </c>
      <c r="Q259" s="2" t="s">
        <v>5</v>
      </c>
      <c r="R259" s="21">
        <f t="shared" si="36"/>
        <v>154000</v>
      </c>
      <c r="S259" s="21">
        <v>154000</v>
      </c>
      <c r="T259" s="5">
        <f t="shared" si="37"/>
        <v>15000</v>
      </c>
      <c r="V259">
        <f t="shared" si="38"/>
        <v>3</v>
      </c>
      <c r="W259">
        <f t="shared" si="39"/>
        <v>3</v>
      </c>
      <c r="X259" s="5">
        <f t="shared" si="40"/>
        <v>0</v>
      </c>
      <c r="Y259" s="2" t="s">
        <v>6</v>
      </c>
      <c r="Z259" s="2" t="s">
        <v>2</v>
      </c>
      <c r="AA259">
        <v>823</v>
      </c>
      <c r="AC259">
        <f t="shared" si="41"/>
        <v>2025</v>
      </c>
      <c r="AD259">
        <f t="shared" si="42"/>
        <v>2025</v>
      </c>
      <c r="AE259">
        <f t="shared" si="43"/>
        <v>2025</v>
      </c>
      <c r="AF259">
        <f t="shared" si="44"/>
        <v>3</v>
      </c>
    </row>
    <row r="260" spans="1:32" x14ac:dyDescent="0.25">
      <c r="A260" s="59">
        <v>45736.125</v>
      </c>
      <c r="B260" s="2">
        <v>1246</v>
      </c>
      <c r="C260" s="19" t="s">
        <v>922</v>
      </c>
      <c r="D260" s="19" t="s">
        <v>2</v>
      </c>
      <c r="E260" s="19" t="s">
        <v>2</v>
      </c>
      <c r="F260" s="19" t="s">
        <v>664</v>
      </c>
      <c r="G260" s="19" t="s">
        <v>923</v>
      </c>
      <c r="H260" s="19" t="s">
        <v>924</v>
      </c>
      <c r="I260" s="19" t="s">
        <v>925</v>
      </c>
      <c r="J260" s="2" t="s">
        <v>2</v>
      </c>
      <c r="K260" s="20">
        <v>45736.125</v>
      </c>
      <c r="L260" s="20">
        <v>45736.125</v>
      </c>
      <c r="M260" s="22">
        <v>130</v>
      </c>
      <c r="N260" s="21">
        <v>156000</v>
      </c>
      <c r="O260" s="2" t="s">
        <v>76</v>
      </c>
      <c r="P260" s="2" t="s">
        <v>4</v>
      </c>
      <c r="Q260" s="2" t="s">
        <v>5</v>
      </c>
      <c r="R260" s="21">
        <f t="shared" si="36"/>
        <v>156000</v>
      </c>
      <c r="S260" s="21">
        <v>156000</v>
      </c>
      <c r="T260" s="5">
        <f t="shared" si="37"/>
        <v>15000</v>
      </c>
      <c r="V260">
        <f t="shared" si="38"/>
        <v>3</v>
      </c>
      <c r="W260">
        <f t="shared" si="39"/>
        <v>3</v>
      </c>
      <c r="X260" s="5">
        <f t="shared" si="40"/>
        <v>0</v>
      </c>
      <c r="Y260" s="2" t="s">
        <v>6</v>
      </c>
      <c r="Z260" s="2" t="s">
        <v>2</v>
      </c>
      <c r="AA260">
        <v>824</v>
      </c>
      <c r="AC260">
        <f t="shared" si="41"/>
        <v>2025</v>
      </c>
      <c r="AD260">
        <f t="shared" si="42"/>
        <v>2025</v>
      </c>
      <c r="AE260">
        <f t="shared" si="43"/>
        <v>2025</v>
      </c>
      <c r="AF260">
        <f t="shared" si="44"/>
        <v>3</v>
      </c>
    </row>
    <row r="261" spans="1:32" x14ac:dyDescent="0.25">
      <c r="A261" s="59">
        <v>45736.125</v>
      </c>
      <c r="B261" s="2">
        <v>1247</v>
      </c>
      <c r="C261" s="19" t="s">
        <v>922</v>
      </c>
      <c r="D261" s="19" t="s">
        <v>2</v>
      </c>
      <c r="E261" s="19" t="s">
        <v>2</v>
      </c>
      <c r="F261" s="19" t="s">
        <v>664</v>
      </c>
      <c r="G261" s="19" t="s">
        <v>749</v>
      </c>
      <c r="H261" s="19" t="s">
        <v>926</v>
      </c>
      <c r="I261" s="19" t="s">
        <v>927</v>
      </c>
      <c r="J261" s="2" t="s">
        <v>2</v>
      </c>
      <c r="K261" s="20">
        <v>45736.125</v>
      </c>
      <c r="L261" s="20">
        <v>45736.125</v>
      </c>
      <c r="M261" s="22">
        <v>110</v>
      </c>
      <c r="N261" s="21">
        <v>132000</v>
      </c>
      <c r="O261" s="2" t="s">
        <v>76</v>
      </c>
      <c r="P261" s="2" t="s">
        <v>4</v>
      </c>
      <c r="Q261" s="2" t="s">
        <v>5</v>
      </c>
      <c r="R261" s="21">
        <f t="shared" si="36"/>
        <v>132000</v>
      </c>
      <c r="S261" s="21">
        <v>132000</v>
      </c>
      <c r="T261" s="5">
        <f t="shared" si="37"/>
        <v>15000</v>
      </c>
      <c r="V261">
        <f t="shared" si="38"/>
        <v>3</v>
      </c>
      <c r="W261">
        <f t="shared" si="39"/>
        <v>3</v>
      </c>
      <c r="X261" s="5">
        <f t="shared" si="40"/>
        <v>0</v>
      </c>
      <c r="Y261" s="2" t="s">
        <v>6</v>
      </c>
      <c r="Z261" s="2" t="s">
        <v>2</v>
      </c>
      <c r="AA261">
        <v>824</v>
      </c>
      <c r="AC261">
        <f t="shared" si="41"/>
        <v>2025</v>
      </c>
      <c r="AD261">
        <f t="shared" si="42"/>
        <v>2025</v>
      </c>
      <c r="AE261">
        <f t="shared" si="43"/>
        <v>2025</v>
      </c>
      <c r="AF261">
        <f t="shared" si="44"/>
        <v>3</v>
      </c>
    </row>
    <row r="262" spans="1:32" x14ac:dyDescent="0.25">
      <c r="A262" s="59">
        <v>45741.125</v>
      </c>
      <c r="B262" s="2">
        <v>1248</v>
      </c>
      <c r="C262" s="19" t="s">
        <v>928</v>
      </c>
      <c r="D262" s="19" t="s">
        <v>2</v>
      </c>
      <c r="E262" s="19" t="s">
        <v>2</v>
      </c>
      <c r="F262" s="19" t="s">
        <v>929</v>
      </c>
      <c r="G262" s="19" t="s">
        <v>930</v>
      </c>
      <c r="H262" s="19" t="s">
        <v>931</v>
      </c>
      <c r="I262" s="19" t="s">
        <v>932</v>
      </c>
      <c r="J262" s="2" t="s">
        <v>2</v>
      </c>
      <c r="K262" s="20">
        <v>45748.125</v>
      </c>
      <c r="L262" s="20">
        <v>45756.125</v>
      </c>
      <c r="M262" s="22">
        <v>0</v>
      </c>
      <c r="N262" s="21">
        <v>0</v>
      </c>
      <c r="O262" s="2" t="s">
        <v>3</v>
      </c>
      <c r="P262" s="2" t="s">
        <v>307</v>
      </c>
      <c r="Q262" s="2" t="s">
        <v>5</v>
      </c>
      <c r="R262" s="21">
        <f t="shared" si="36"/>
        <v>0</v>
      </c>
      <c r="S262" s="21">
        <v>0</v>
      </c>
      <c r="T262" s="5">
        <f t="shared" si="37"/>
        <v>15000</v>
      </c>
      <c r="V262">
        <f t="shared" si="38"/>
        <v>4</v>
      </c>
      <c r="W262">
        <f t="shared" si="39"/>
        <v>3</v>
      </c>
      <c r="X262" s="5">
        <f t="shared" si="40"/>
        <v>0</v>
      </c>
      <c r="Y262" s="2" t="s">
        <v>6</v>
      </c>
      <c r="Z262" s="2" t="s">
        <v>2</v>
      </c>
      <c r="AA262">
        <v>828</v>
      </c>
      <c r="AC262">
        <f t="shared" si="41"/>
        <v>2025</v>
      </c>
      <c r="AD262">
        <f t="shared" si="42"/>
        <v>2025</v>
      </c>
      <c r="AE262">
        <f t="shared" si="43"/>
        <v>2025</v>
      </c>
      <c r="AF262">
        <f t="shared" si="44"/>
        <v>4</v>
      </c>
    </row>
    <row r="263" spans="1:32" x14ac:dyDescent="0.25">
      <c r="A263" s="59">
        <v>45741.125</v>
      </c>
      <c r="B263" s="2">
        <v>1249</v>
      </c>
      <c r="C263" s="19" t="s">
        <v>928</v>
      </c>
      <c r="D263" s="19" t="s">
        <v>2</v>
      </c>
      <c r="E263" s="19" t="s">
        <v>2</v>
      </c>
      <c r="F263" s="19" t="s">
        <v>933</v>
      </c>
      <c r="G263" s="19" t="s">
        <v>822</v>
      </c>
      <c r="H263" s="19" t="s">
        <v>934</v>
      </c>
      <c r="I263" s="19" t="s">
        <v>935</v>
      </c>
      <c r="J263" s="2" t="s">
        <v>2</v>
      </c>
      <c r="K263" s="20">
        <v>45744.125</v>
      </c>
      <c r="L263" s="20">
        <v>45744.125</v>
      </c>
      <c r="M263" s="22">
        <v>60</v>
      </c>
      <c r="N263" s="21">
        <v>72000</v>
      </c>
      <c r="O263" s="2" t="s">
        <v>76</v>
      </c>
      <c r="P263" s="2" t="s">
        <v>4</v>
      </c>
      <c r="Q263" s="2" t="s">
        <v>5</v>
      </c>
      <c r="R263" s="21">
        <f t="shared" si="36"/>
        <v>72000</v>
      </c>
      <c r="S263" s="21">
        <v>72000</v>
      </c>
      <c r="T263" s="5">
        <f t="shared" si="37"/>
        <v>15000</v>
      </c>
      <c r="V263">
        <f t="shared" si="38"/>
        <v>3</v>
      </c>
      <c r="W263">
        <f t="shared" si="39"/>
        <v>3</v>
      </c>
      <c r="X263" s="5">
        <f t="shared" si="40"/>
        <v>0</v>
      </c>
      <c r="Y263" s="2" t="s">
        <v>6</v>
      </c>
      <c r="Z263" s="2" t="s">
        <v>2</v>
      </c>
      <c r="AA263">
        <v>827</v>
      </c>
      <c r="AC263">
        <f t="shared" si="41"/>
        <v>2025</v>
      </c>
      <c r="AD263">
        <f t="shared" si="42"/>
        <v>2025</v>
      </c>
      <c r="AE263">
        <f t="shared" si="43"/>
        <v>2025</v>
      </c>
      <c r="AF263">
        <f t="shared" si="44"/>
        <v>3</v>
      </c>
    </row>
    <row r="264" spans="1:32" x14ac:dyDescent="0.25">
      <c r="A264" s="59">
        <v>45741.125</v>
      </c>
      <c r="B264" s="2">
        <v>1250</v>
      </c>
      <c r="C264" s="19" t="s">
        <v>928</v>
      </c>
      <c r="D264" s="19" t="s">
        <v>2</v>
      </c>
      <c r="E264" s="19" t="s">
        <v>2</v>
      </c>
      <c r="F264" s="19" t="s">
        <v>936</v>
      </c>
      <c r="G264" s="19" t="s">
        <v>822</v>
      </c>
      <c r="H264" s="19" t="s">
        <v>937</v>
      </c>
      <c r="I264" s="19" t="s">
        <v>938</v>
      </c>
      <c r="J264" s="2" t="s">
        <v>2</v>
      </c>
      <c r="K264" s="20">
        <v>45744.125</v>
      </c>
      <c r="L264" s="20">
        <v>45744.125</v>
      </c>
      <c r="M264" s="22">
        <v>50</v>
      </c>
      <c r="N264" s="21">
        <v>60000</v>
      </c>
      <c r="O264" s="2" t="s">
        <v>76</v>
      </c>
      <c r="P264" s="2" t="s">
        <v>4</v>
      </c>
      <c r="Q264" s="2" t="s">
        <v>5</v>
      </c>
      <c r="R264" s="21">
        <f t="shared" si="36"/>
        <v>60000</v>
      </c>
      <c r="S264" s="21">
        <v>60000</v>
      </c>
      <c r="T264" s="5">
        <f t="shared" si="37"/>
        <v>15000</v>
      </c>
      <c r="V264">
        <f t="shared" si="38"/>
        <v>3</v>
      </c>
      <c r="W264">
        <f t="shared" si="39"/>
        <v>3</v>
      </c>
      <c r="X264" s="5">
        <f t="shared" si="40"/>
        <v>0</v>
      </c>
      <c r="Y264" s="2" t="s">
        <v>6</v>
      </c>
      <c r="Z264" s="2" t="s">
        <v>2</v>
      </c>
      <c r="AA264">
        <v>827</v>
      </c>
      <c r="AC264">
        <f t="shared" si="41"/>
        <v>2025</v>
      </c>
      <c r="AD264">
        <f t="shared" si="42"/>
        <v>2025</v>
      </c>
      <c r="AE264">
        <f t="shared" si="43"/>
        <v>2025</v>
      </c>
      <c r="AF264">
        <f t="shared" si="44"/>
        <v>3</v>
      </c>
    </row>
    <row r="265" spans="1:32" x14ac:dyDescent="0.25">
      <c r="A265" s="59">
        <v>45742.125</v>
      </c>
      <c r="B265" s="2">
        <v>1251</v>
      </c>
      <c r="C265" s="19" t="s">
        <v>928</v>
      </c>
      <c r="D265" s="19" t="s">
        <v>2</v>
      </c>
      <c r="E265" s="19" t="s">
        <v>2</v>
      </c>
      <c r="F265" s="19" t="s">
        <v>664</v>
      </c>
      <c r="G265" s="19" t="s">
        <v>923</v>
      </c>
      <c r="H265" s="19" t="s">
        <v>924</v>
      </c>
      <c r="I265" s="19" t="s">
        <v>939</v>
      </c>
      <c r="J265" s="2" t="s">
        <v>2</v>
      </c>
      <c r="K265" s="20">
        <v>45744.125</v>
      </c>
      <c r="L265" s="20">
        <v>45744.125</v>
      </c>
      <c r="M265" s="22">
        <v>130</v>
      </c>
      <c r="N265" s="21">
        <v>156000</v>
      </c>
      <c r="O265" s="2" t="s">
        <v>76</v>
      </c>
      <c r="P265" s="2" t="s">
        <v>4</v>
      </c>
      <c r="Q265" s="2" t="s">
        <v>5</v>
      </c>
      <c r="R265" s="21">
        <f t="shared" si="36"/>
        <v>156000</v>
      </c>
      <c r="S265" s="21">
        <v>156000</v>
      </c>
      <c r="T265" s="5">
        <f t="shared" si="37"/>
        <v>15000</v>
      </c>
      <c r="V265">
        <f t="shared" si="38"/>
        <v>3</v>
      </c>
      <c r="W265">
        <f t="shared" si="39"/>
        <v>3</v>
      </c>
      <c r="X265" s="5">
        <f t="shared" si="40"/>
        <v>0</v>
      </c>
      <c r="Y265" s="2" t="s">
        <v>6</v>
      </c>
      <c r="Z265" s="2" t="s">
        <v>2</v>
      </c>
      <c r="AA265">
        <v>827</v>
      </c>
      <c r="AC265">
        <f t="shared" si="41"/>
        <v>2025</v>
      </c>
      <c r="AD265">
        <f t="shared" si="42"/>
        <v>2025</v>
      </c>
      <c r="AE265">
        <f t="shared" si="43"/>
        <v>2025</v>
      </c>
      <c r="AF265">
        <f t="shared" si="44"/>
        <v>3</v>
      </c>
    </row>
    <row r="266" spans="1:32" x14ac:dyDescent="0.25">
      <c r="A266" s="59">
        <v>45743.125</v>
      </c>
      <c r="B266" s="2">
        <v>1252</v>
      </c>
      <c r="C266" s="19" t="s">
        <v>162</v>
      </c>
      <c r="D266" s="19" t="s">
        <v>2</v>
      </c>
      <c r="E266" s="19" t="s">
        <v>2</v>
      </c>
      <c r="F266" s="19" t="s">
        <v>940</v>
      </c>
      <c r="G266" s="19" t="s">
        <v>941</v>
      </c>
      <c r="H266" s="19" t="s">
        <v>942</v>
      </c>
      <c r="I266" s="19" t="s">
        <v>943</v>
      </c>
      <c r="J266" s="2" t="s">
        <v>2</v>
      </c>
      <c r="K266" s="20">
        <v>45743.125</v>
      </c>
      <c r="L266" s="20">
        <v>45747.125</v>
      </c>
      <c r="M266" s="22">
        <v>100</v>
      </c>
      <c r="N266" s="21">
        <v>109500</v>
      </c>
      <c r="O266" s="2" t="s">
        <v>76</v>
      </c>
      <c r="P266" s="2" t="s">
        <v>4</v>
      </c>
      <c r="Q266" s="2" t="s">
        <v>5</v>
      </c>
      <c r="R266" s="21">
        <f t="shared" si="36"/>
        <v>109500</v>
      </c>
      <c r="S266" s="21">
        <v>0</v>
      </c>
      <c r="T266" s="5">
        <f t="shared" si="37"/>
        <v>124500</v>
      </c>
      <c r="V266">
        <f t="shared" si="38"/>
        <v>3</v>
      </c>
      <c r="W266">
        <f t="shared" si="39"/>
        <v>3</v>
      </c>
      <c r="X266" s="5">
        <f t="shared" si="40"/>
        <v>-109500</v>
      </c>
      <c r="Y266" s="2" t="s">
        <v>6</v>
      </c>
      <c r="Z266" s="2" t="s">
        <v>2</v>
      </c>
      <c r="AA266">
        <v>825</v>
      </c>
      <c r="AC266">
        <f t="shared" si="41"/>
        <v>2025</v>
      </c>
      <c r="AD266">
        <f t="shared" si="42"/>
        <v>2025</v>
      </c>
      <c r="AE266">
        <f t="shared" si="43"/>
        <v>2025</v>
      </c>
      <c r="AF266">
        <f t="shared" si="44"/>
        <v>3</v>
      </c>
    </row>
    <row r="267" spans="1:32" x14ac:dyDescent="0.25">
      <c r="A267" s="59">
        <v>45747.125</v>
      </c>
      <c r="B267" s="2">
        <v>1253</v>
      </c>
      <c r="C267" s="19" t="s">
        <v>928</v>
      </c>
      <c r="D267" s="19" t="s">
        <v>2</v>
      </c>
      <c r="E267" s="19" t="s">
        <v>2</v>
      </c>
      <c r="F267" s="19" t="s">
        <v>929</v>
      </c>
      <c r="G267" s="19" t="s">
        <v>930</v>
      </c>
      <c r="H267" s="19" t="s">
        <v>931</v>
      </c>
      <c r="I267" s="19" t="s">
        <v>944</v>
      </c>
      <c r="J267" s="2" t="s">
        <v>2</v>
      </c>
      <c r="K267" s="20">
        <v>45751.125</v>
      </c>
      <c r="L267" s="20">
        <v>45751.125</v>
      </c>
      <c r="M267" s="22">
        <v>800</v>
      </c>
      <c r="N267" s="21">
        <v>960000</v>
      </c>
      <c r="O267" s="2" t="s">
        <v>76</v>
      </c>
      <c r="P267" s="2" t="s">
        <v>4</v>
      </c>
      <c r="Q267" s="2" t="s">
        <v>5</v>
      </c>
      <c r="R267" s="21">
        <f t="shared" si="36"/>
        <v>960000</v>
      </c>
      <c r="S267" s="21">
        <v>960000</v>
      </c>
      <c r="T267" s="5">
        <f t="shared" si="37"/>
        <v>124500</v>
      </c>
      <c r="V267">
        <f t="shared" si="38"/>
        <v>4</v>
      </c>
      <c r="W267">
        <f t="shared" si="39"/>
        <v>3</v>
      </c>
      <c r="X267" s="5">
        <f t="shared" si="40"/>
        <v>0</v>
      </c>
      <c r="Y267" s="2" t="s">
        <v>6</v>
      </c>
      <c r="Z267" s="2" t="s">
        <v>2</v>
      </c>
      <c r="AA267">
        <v>827</v>
      </c>
      <c r="AC267">
        <f t="shared" si="41"/>
        <v>2025</v>
      </c>
      <c r="AD267">
        <f t="shared" si="42"/>
        <v>2025</v>
      </c>
      <c r="AE267">
        <f t="shared" si="43"/>
        <v>2025</v>
      </c>
      <c r="AF267">
        <f t="shared" si="44"/>
        <v>4</v>
      </c>
    </row>
    <row r="268" spans="1:32" x14ac:dyDescent="0.25">
      <c r="A268" s="59">
        <v>45747.125</v>
      </c>
      <c r="B268" s="2">
        <v>1254</v>
      </c>
      <c r="C268" s="19" t="s">
        <v>1</v>
      </c>
      <c r="D268" s="19" t="s">
        <v>2</v>
      </c>
      <c r="E268" s="19" t="s">
        <v>2</v>
      </c>
      <c r="F268" s="19" t="s">
        <v>137</v>
      </c>
      <c r="G268" s="19" t="s">
        <v>138</v>
      </c>
      <c r="H268" s="19" t="s">
        <v>139</v>
      </c>
      <c r="I268" s="19" t="s">
        <v>945</v>
      </c>
      <c r="J268" s="2" t="s">
        <v>2</v>
      </c>
      <c r="K268" s="20">
        <v>45747.125</v>
      </c>
      <c r="L268" s="20">
        <v>45755.125</v>
      </c>
      <c r="M268" s="22">
        <v>140</v>
      </c>
      <c r="N268" s="21">
        <v>167500</v>
      </c>
      <c r="O268" s="2" t="s">
        <v>76</v>
      </c>
      <c r="P268" s="2" t="s">
        <v>4</v>
      </c>
      <c r="Q268" s="2" t="s">
        <v>5</v>
      </c>
      <c r="R268" s="21">
        <f t="shared" si="36"/>
        <v>167500</v>
      </c>
      <c r="S268" s="21">
        <v>167500</v>
      </c>
      <c r="T268" s="5">
        <f t="shared" si="37"/>
        <v>124500</v>
      </c>
      <c r="V268">
        <f t="shared" si="38"/>
        <v>3</v>
      </c>
      <c r="W268">
        <f t="shared" si="39"/>
        <v>3</v>
      </c>
      <c r="X268" s="5">
        <f t="shared" si="40"/>
        <v>0</v>
      </c>
      <c r="Y268" s="2" t="s">
        <v>6</v>
      </c>
      <c r="Z268" s="2" t="s">
        <v>2</v>
      </c>
      <c r="AA268">
        <v>826</v>
      </c>
      <c r="AC268">
        <f t="shared" si="41"/>
        <v>2025</v>
      </c>
      <c r="AD268">
        <f t="shared" si="42"/>
        <v>2025</v>
      </c>
      <c r="AE268">
        <f t="shared" si="43"/>
        <v>2025</v>
      </c>
      <c r="AF268">
        <f t="shared" si="44"/>
        <v>4</v>
      </c>
    </row>
    <row r="269" spans="1:32" x14ac:dyDescent="0.25">
      <c r="A269" s="59">
        <v>45749.125</v>
      </c>
      <c r="B269" s="2">
        <v>1255</v>
      </c>
      <c r="C269" s="19" t="s">
        <v>368</v>
      </c>
      <c r="D269" s="19" t="s">
        <v>2</v>
      </c>
      <c r="E269" s="19" t="s">
        <v>2</v>
      </c>
      <c r="F269" s="19" t="s">
        <v>107</v>
      </c>
      <c r="G269" s="19" t="s">
        <v>588</v>
      </c>
      <c r="H269" s="19" t="s">
        <v>946</v>
      </c>
      <c r="I269" s="19" t="s">
        <v>947</v>
      </c>
      <c r="J269" s="2" t="s">
        <v>2</v>
      </c>
      <c r="K269" s="20">
        <v>45757.125</v>
      </c>
      <c r="L269" s="20">
        <v>45754.125</v>
      </c>
      <c r="M269" s="22">
        <v>365</v>
      </c>
      <c r="N269" s="21">
        <v>438000</v>
      </c>
      <c r="O269" s="2" t="s">
        <v>76</v>
      </c>
      <c r="P269" s="2" t="s">
        <v>4</v>
      </c>
      <c r="Q269" s="2" t="s">
        <v>5</v>
      </c>
      <c r="R269" s="21">
        <f t="shared" si="36"/>
        <v>438000</v>
      </c>
      <c r="S269" s="21">
        <v>438000</v>
      </c>
      <c r="T269" s="5">
        <f t="shared" si="37"/>
        <v>124500</v>
      </c>
      <c r="V269">
        <f t="shared" si="38"/>
        <v>4</v>
      </c>
      <c r="W269">
        <f t="shared" si="39"/>
        <v>4</v>
      </c>
      <c r="X269" s="5">
        <f t="shared" si="40"/>
        <v>0</v>
      </c>
      <c r="Y269" s="2" t="s">
        <v>6</v>
      </c>
      <c r="Z269" s="2" t="s">
        <v>2</v>
      </c>
      <c r="AA269">
        <v>830</v>
      </c>
      <c r="AC269">
        <f t="shared" si="41"/>
        <v>2025</v>
      </c>
      <c r="AD269">
        <f t="shared" si="42"/>
        <v>2025</v>
      </c>
      <c r="AE269">
        <f t="shared" si="43"/>
        <v>2025</v>
      </c>
      <c r="AF269">
        <f t="shared" si="44"/>
        <v>4</v>
      </c>
    </row>
    <row r="270" spans="1:32" x14ac:dyDescent="0.25">
      <c r="A270" s="59">
        <v>45749.125</v>
      </c>
      <c r="B270" s="2">
        <v>1256</v>
      </c>
      <c r="C270" s="19" t="s">
        <v>368</v>
      </c>
      <c r="D270" s="19" t="s">
        <v>2</v>
      </c>
      <c r="E270" s="19" t="s">
        <v>2</v>
      </c>
      <c r="F270" s="19" t="s">
        <v>948</v>
      </c>
      <c r="G270" s="19" t="s">
        <v>108</v>
      </c>
      <c r="H270" s="19" t="s">
        <v>949</v>
      </c>
      <c r="I270" s="19" t="s">
        <v>950</v>
      </c>
      <c r="J270" s="2" t="s">
        <v>2</v>
      </c>
      <c r="K270" s="20">
        <v>45749.125</v>
      </c>
      <c r="L270" s="20"/>
      <c r="M270" s="22">
        <v>0</v>
      </c>
      <c r="N270" s="21">
        <v>0</v>
      </c>
      <c r="O270" s="2" t="s">
        <v>3</v>
      </c>
      <c r="P270" s="2" t="s">
        <v>129</v>
      </c>
      <c r="Q270" s="2" t="s">
        <v>98</v>
      </c>
      <c r="R270" s="21">
        <f t="shared" si="36"/>
        <v>0</v>
      </c>
      <c r="S270" s="21">
        <v>0</v>
      </c>
      <c r="T270" s="5">
        <f t="shared" si="37"/>
        <v>124500</v>
      </c>
      <c r="V270">
        <f t="shared" si="38"/>
        <v>4</v>
      </c>
      <c r="W270">
        <f t="shared" si="39"/>
        <v>4</v>
      </c>
      <c r="X270" s="5">
        <f t="shared" si="40"/>
        <v>0</v>
      </c>
      <c r="Y270" s="2" t="s">
        <v>6</v>
      </c>
      <c r="Z270" s="2" t="s">
        <v>2</v>
      </c>
      <c r="AC270">
        <f t="shared" si="41"/>
        <v>2025</v>
      </c>
      <c r="AD270">
        <f t="shared" si="42"/>
        <v>2025</v>
      </c>
      <c r="AE270" t="str">
        <f t="shared" si="43"/>
        <v/>
      </c>
      <c r="AF270" t="str">
        <f t="shared" si="44"/>
        <v/>
      </c>
    </row>
    <row r="271" spans="1:32" x14ac:dyDescent="0.25">
      <c r="A271" s="59">
        <v>45749.125</v>
      </c>
      <c r="B271" s="2">
        <v>1257</v>
      </c>
      <c r="C271" s="19" t="s">
        <v>82</v>
      </c>
      <c r="D271" s="19" t="s">
        <v>2</v>
      </c>
      <c r="E271" s="19" t="s">
        <v>2</v>
      </c>
      <c r="F271" s="19" t="s">
        <v>107</v>
      </c>
      <c r="G271" s="19" t="s">
        <v>588</v>
      </c>
      <c r="H271" s="19" t="s">
        <v>946</v>
      </c>
      <c r="I271" s="19" t="s">
        <v>951</v>
      </c>
      <c r="J271" s="2" t="s">
        <v>2</v>
      </c>
      <c r="K271" s="20">
        <v>45749.125</v>
      </c>
      <c r="L271" s="20">
        <v>45763.125</v>
      </c>
      <c r="M271" s="22">
        <v>380</v>
      </c>
      <c r="N271" s="21">
        <v>456000</v>
      </c>
      <c r="O271" s="2" t="s">
        <v>3</v>
      </c>
      <c r="P271" s="2" t="s">
        <v>129</v>
      </c>
      <c r="Q271" s="2" t="s">
        <v>5</v>
      </c>
      <c r="R271" s="21">
        <f t="shared" si="36"/>
        <v>456000</v>
      </c>
      <c r="S271" s="21">
        <v>0</v>
      </c>
      <c r="T271" s="5">
        <f t="shared" si="37"/>
        <v>580500</v>
      </c>
      <c r="V271">
        <f t="shared" si="38"/>
        <v>4</v>
      </c>
      <c r="W271">
        <f t="shared" si="39"/>
        <v>4</v>
      </c>
      <c r="X271" s="5">
        <f t="shared" si="40"/>
        <v>-456000</v>
      </c>
      <c r="Y271" s="2" t="s">
        <v>6</v>
      </c>
      <c r="Z271" s="2" t="s">
        <v>2</v>
      </c>
      <c r="AC271">
        <f t="shared" si="41"/>
        <v>2025</v>
      </c>
      <c r="AD271">
        <f t="shared" si="42"/>
        <v>2025</v>
      </c>
      <c r="AE271">
        <f t="shared" si="43"/>
        <v>2025</v>
      </c>
      <c r="AF271">
        <f t="shared" si="44"/>
        <v>4</v>
      </c>
    </row>
    <row r="272" spans="1:32" x14ac:dyDescent="0.25">
      <c r="A272" s="59">
        <v>45749.125</v>
      </c>
      <c r="B272" s="2">
        <v>1258</v>
      </c>
      <c r="C272" s="19" t="s">
        <v>82</v>
      </c>
      <c r="D272" s="19" t="s">
        <v>2</v>
      </c>
      <c r="E272" s="19" t="s">
        <v>2</v>
      </c>
      <c r="F272" s="19" t="s">
        <v>107</v>
      </c>
      <c r="G272" s="19" t="s">
        <v>108</v>
      </c>
      <c r="H272" s="19" t="s">
        <v>266</v>
      </c>
      <c r="I272" s="19" t="s">
        <v>952</v>
      </c>
      <c r="J272" s="2" t="s">
        <v>2</v>
      </c>
      <c r="K272" s="20">
        <v>45769.125</v>
      </c>
      <c r="L272" s="20">
        <v>45763.125</v>
      </c>
      <c r="M272" s="22">
        <v>365</v>
      </c>
      <c r="N272" s="21">
        <v>438000</v>
      </c>
      <c r="O272" s="2" t="s">
        <v>3</v>
      </c>
      <c r="P272" s="2" t="s">
        <v>4</v>
      </c>
      <c r="Q272" s="2" t="s">
        <v>5</v>
      </c>
      <c r="R272" s="21">
        <f t="shared" si="36"/>
        <v>438000</v>
      </c>
      <c r="S272" s="21">
        <v>0</v>
      </c>
      <c r="T272" s="5">
        <f t="shared" si="37"/>
        <v>1018500</v>
      </c>
      <c r="V272">
        <f t="shared" si="38"/>
        <v>4</v>
      </c>
      <c r="W272">
        <f t="shared" si="39"/>
        <v>4</v>
      </c>
      <c r="X272" s="5">
        <f t="shared" si="40"/>
        <v>-438000</v>
      </c>
      <c r="Y272" s="2" t="s">
        <v>6</v>
      </c>
      <c r="Z272" s="2" t="s">
        <v>2</v>
      </c>
      <c r="AA272">
        <v>837</v>
      </c>
      <c r="AC272">
        <f t="shared" si="41"/>
        <v>2025</v>
      </c>
      <c r="AD272">
        <f t="shared" si="42"/>
        <v>2025</v>
      </c>
      <c r="AE272">
        <f t="shared" si="43"/>
        <v>2025</v>
      </c>
      <c r="AF272">
        <f t="shared" si="44"/>
        <v>4</v>
      </c>
    </row>
    <row r="273" spans="1:32" x14ac:dyDescent="0.25">
      <c r="A273" s="59">
        <v>45749.125</v>
      </c>
      <c r="B273" s="2">
        <v>1259</v>
      </c>
      <c r="C273" s="19" t="s">
        <v>82</v>
      </c>
      <c r="D273" s="19" t="s">
        <v>2</v>
      </c>
      <c r="E273" s="19" t="s">
        <v>2</v>
      </c>
      <c r="F273" s="19" t="s">
        <v>953</v>
      </c>
      <c r="G273" s="19" t="s">
        <v>954</v>
      </c>
      <c r="H273" s="19" t="s">
        <v>955</v>
      </c>
      <c r="I273" s="19" t="s">
        <v>956</v>
      </c>
      <c r="J273" s="2" t="s">
        <v>2</v>
      </c>
      <c r="K273" s="20">
        <v>45751.125</v>
      </c>
      <c r="L273" s="20">
        <v>45763.125</v>
      </c>
      <c r="M273" s="22">
        <v>62</v>
      </c>
      <c r="N273" s="21">
        <v>75000</v>
      </c>
      <c r="O273" s="2" t="s">
        <v>3</v>
      </c>
      <c r="P273" s="2" t="s">
        <v>129</v>
      </c>
      <c r="Q273" s="2" t="s">
        <v>5</v>
      </c>
      <c r="R273" s="21">
        <f t="shared" si="36"/>
        <v>75000</v>
      </c>
      <c r="S273" s="21">
        <v>0</v>
      </c>
      <c r="T273" s="5">
        <f t="shared" si="37"/>
        <v>1093500</v>
      </c>
      <c r="V273">
        <f t="shared" si="38"/>
        <v>4</v>
      </c>
      <c r="W273">
        <f t="shared" si="39"/>
        <v>4</v>
      </c>
      <c r="X273" s="5">
        <f t="shared" si="40"/>
        <v>-75000</v>
      </c>
      <c r="Y273" s="2" t="s">
        <v>6</v>
      </c>
      <c r="Z273" s="2" t="s">
        <v>2</v>
      </c>
      <c r="AC273">
        <f t="shared" si="41"/>
        <v>2025</v>
      </c>
      <c r="AD273">
        <f t="shared" si="42"/>
        <v>2025</v>
      </c>
      <c r="AE273">
        <f t="shared" si="43"/>
        <v>2025</v>
      </c>
      <c r="AF273">
        <f t="shared" si="44"/>
        <v>4</v>
      </c>
    </row>
    <row r="274" spans="1:32" x14ac:dyDescent="0.25">
      <c r="A274" s="59">
        <v>45753.125</v>
      </c>
      <c r="B274" s="2">
        <v>1260</v>
      </c>
      <c r="C274" s="19" t="s">
        <v>0</v>
      </c>
      <c r="D274" s="19" t="s">
        <v>112</v>
      </c>
      <c r="E274" s="19" t="s">
        <v>396</v>
      </c>
      <c r="F274" s="19" t="s">
        <v>957</v>
      </c>
      <c r="G274" s="19" t="s">
        <v>958</v>
      </c>
      <c r="H274" s="19" t="s">
        <v>959</v>
      </c>
      <c r="I274" s="19" t="s">
        <v>960</v>
      </c>
      <c r="J274" s="2" t="s">
        <v>2</v>
      </c>
      <c r="K274" s="20">
        <v>45751.125</v>
      </c>
      <c r="L274" s="20">
        <v>45764.125</v>
      </c>
      <c r="M274" s="22">
        <v>0</v>
      </c>
      <c r="N274" s="21">
        <v>66400</v>
      </c>
      <c r="O274" s="2" t="s">
        <v>76</v>
      </c>
      <c r="P274" s="2" t="s">
        <v>4</v>
      </c>
      <c r="Q274" s="2" t="s">
        <v>5</v>
      </c>
      <c r="R274" s="21">
        <f t="shared" si="36"/>
        <v>66400</v>
      </c>
      <c r="S274" s="21">
        <v>0</v>
      </c>
      <c r="T274" s="5">
        <f t="shared" si="37"/>
        <v>1159900</v>
      </c>
      <c r="V274">
        <f t="shared" si="38"/>
        <v>4</v>
      </c>
      <c r="W274">
        <f t="shared" si="39"/>
        <v>4</v>
      </c>
      <c r="X274" s="5">
        <f t="shared" si="40"/>
        <v>-66400</v>
      </c>
      <c r="Y274" s="2" t="s">
        <v>6</v>
      </c>
      <c r="Z274" s="2" t="s">
        <v>2</v>
      </c>
      <c r="AC274">
        <f t="shared" si="41"/>
        <v>2025</v>
      </c>
      <c r="AD274">
        <f t="shared" si="42"/>
        <v>2025</v>
      </c>
      <c r="AE274">
        <f t="shared" si="43"/>
        <v>2025</v>
      </c>
      <c r="AF274">
        <f t="shared" si="44"/>
        <v>4</v>
      </c>
    </row>
    <row r="275" spans="1:32" x14ac:dyDescent="0.25">
      <c r="A275" s="59">
        <v>45754.125</v>
      </c>
      <c r="B275" s="2">
        <v>1261</v>
      </c>
      <c r="C275" s="19" t="s">
        <v>207</v>
      </c>
      <c r="D275" s="19" t="s">
        <v>2</v>
      </c>
      <c r="E275" s="19" t="s">
        <v>2</v>
      </c>
      <c r="F275" s="19" t="s">
        <v>961</v>
      </c>
      <c r="G275" s="19" t="s">
        <v>962</v>
      </c>
      <c r="H275" s="19" t="s">
        <v>963</v>
      </c>
      <c r="I275" s="19" t="s">
        <v>964</v>
      </c>
      <c r="J275" s="2" t="s">
        <v>2</v>
      </c>
      <c r="K275" s="20">
        <v>45754.125</v>
      </c>
      <c r="L275" s="20">
        <v>45756.125</v>
      </c>
      <c r="M275" s="22">
        <v>80</v>
      </c>
      <c r="N275" s="21">
        <v>96000</v>
      </c>
      <c r="O275" s="2" t="s">
        <v>76</v>
      </c>
      <c r="P275" s="2" t="s">
        <v>4</v>
      </c>
      <c r="Q275" s="2" t="s">
        <v>5</v>
      </c>
      <c r="R275" s="21">
        <f t="shared" si="36"/>
        <v>96000</v>
      </c>
      <c r="S275" s="21">
        <v>0</v>
      </c>
      <c r="T275" s="5">
        <f t="shared" si="37"/>
        <v>1255900</v>
      </c>
      <c r="V275">
        <f t="shared" si="38"/>
        <v>4</v>
      </c>
      <c r="W275">
        <f t="shared" si="39"/>
        <v>4</v>
      </c>
      <c r="X275" s="5">
        <f t="shared" si="40"/>
        <v>-96000</v>
      </c>
      <c r="Y275" s="2" t="s">
        <v>6</v>
      </c>
      <c r="Z275" s="2" t="s">
        <v>2</v>
      </c>
      <c r="AA275">
        <v>829</v>
      </c>
      <c r="AC275">
        <f t="shared" si="41"/>
        <v>2025</v>
      </c>
      <c r="AD275">
        <f t="shared" si="42"/>
        <v>2025</v>
      </c>
      <c r="AE275">
        <f t="shared" si="43"/>
        <v>2025</v>
      </c>
      <c r="AF275">
        <f t="shared" si="44"/>
        <v>4</v>
      </c>
    </row>
    <row r="276" spans="1:32" x14ac:dyDescent="0.25">
      <c r="A276" s="59">
        <v>45754.125</v>
      </c>
      <c r="B276" s="2">
        <v>1262</v>
      </c>
      <c r="C276" s="19" t="s">
        <v>538</v>
      </c>
      <c r="D276" s="19" t="s">
        <v>2</v>
      </c>
      <c r="E276" s="19" t="s">
        <v>2</v>
      </c>
      <c r="F276" s="19" t="s">
        <v>87</v>
      </c>
      <c r="G276" s="19" t="s">
        <v>88</v>
      </c>
      <c r="H276" s="19" t="s">
        <v>965</v>
      </c>
      <c r="I276" s="19" t="s">
        <v>966</v>
      </c>
      <c r="J276" s="2" t="s">
        <v>2</v>
      </c>
      <c r="K276" s="20">
        <v>45757.125</v>
      </c>
      <c r="L276" s="20">
        <v>45757.125</v>
      </c>
      <c r="M276" s="22">
        <v>195</v>
      </c>
      <c r="N276" s="21">
        <v>243700</v>
      </c>
      <c r="O276" s="2" t="s">
        <v>76</v>
      </c>
      <c r="P276" s="2" t="s">
        <v>4</v>
      </c>
      <c r="Q276" s="2" t="s">
        <v>5</v>
      </c>
      <c r="R276" s="21">
        <f t="shared" si="36"/>
        <v>243700</v>
      </c>
      <c r="S276" s="21">
        <v>0</v>
      </c>
      <c r="T276" s="5">
        <f t="shared" si="37"/>
        <v>1499600</v>
      </c>
      <c r="V276">
        <f t="shared" si="38"/>
        <v>4</v>
      </c>
      <c r="W276">
        <f t="shared" si="39"/>
        <v>4</v>
      </c>
      <c r="X276" s="5">
        <f t="shared" si="40"/>
        <v>-243700</v>
      </c>
      <c r="Y276" s="2" t="s">
        <v>6</v>
      </c>
      <c r="Z276" s="2" t="s">
        <v>2</v>
      </c>
      <c r="AA276">
        <v>831</v>
      </c>
      <c r="AC276">
        <f t="shared" si="41"/>
        <v>2025</v>
      </c>
      <c r="AD276">
        <f t="shared" si="42"/>
        <v>2025</v>
      </c>
      <c r="AE276">
        <f t="shared" si="43"/>
        <v>2025</v>
      </c>
      <c r="AF276">
        <f t="shared" si="44"/>
        <v>4</v>
      </c>
    </row>
    <row r="277" spans="1:32" x14ac:dyDescent="0.25">
      <c r="A277" s="59">
        <v>45761.125</v>
      </c>
      <c r="B277" s="2">
        <v>1263</v>
      </c>
      <c r="C277" s="19" t="s">
        <v>967</v>
      </c>
      <c r="D277" s="19" t="s">
        <v>2</v>
      </c>
      <c r="E277" s="19" t="s">
        <v>2</v>
      </c>
      <c r="F277" s="19" t="s">
        <v>968</v>
      </c>
      <c r="G277" s="19" t="s">
        <v>261</v>
      </c>
      <c r="H277" s="19" t="s">
        <v>969</v>
      </c>
      <c r="I277" s="19" t="s">
        <v>970</v>
      </c>
      <c r="J277" s="2" t="s">
        <v>2</v>
      </c>
      <c r="K277" s="20">
        <v>45768.125</v>
      </c>
      <c r="L277" s="20">
        <v>45764.125</v>
      </c>
      <c r="M277" s="22">
        <v>200</v>
      </c>
      <c r="N277" s="21">
        <v>250000</v>
      </c>
      <c r="O277" s="2" t="s">
        <v>3</v>
      </c>
      <c r="P277" s="2" t="s">
        <v>4</v>
      </c>
      <c r="Q277" s="2" t="s">
        <v>5</v>
      </c>
      <c r="R277" s="21">
        <f t="shared" si="36"/>
        <v>250000</v>
      </c>
      <c r="S277" s="21">
        <v>250000</v>
      </c>
      <c r="T277" s="5">
        <f t="shared" si="37"/>
        <v>1499600</v>
      </c>
      <c r="V277">
        <f t="shared" si="38"/>
        <v>4</v>
      </c>
      <c r="W277">
        <f t="shared" si="39"/>
        <v>4</v>
      </c>
      <c r="X277" s="5">
        <f t="shared" si="40"/>
        <v>0</v>
      </c>
      <c r="Y277" s="2" t="s">
        <v>6</v>
      </c>
      <c r="Z277" s="2" t="s">
        <v>2</v>
      </c>
      <c r="AA277">
        <v>836</v>
      </c>
      <c r="AC277">
        <f t="shared" si="41"/>
        <v>2025</v>
      </c>
      <c r="AD277">
        <f t="shared" si="42"/>
        <v>2025</v>
      </c>
      <c r="AE277">
        <f t="shared" si="43"/>
        <v>2025</v>
      </c>
      <c r="AF277">
        <f t="shared" si="44"/>
        <v>4</v>
      </c>
    </row>
    <row r="278" spans="1:32" x14ac:dyDescent="0.25">
      <c r="A278" s="59">
        <v>45762.125</v>
      </c>
      <c r="B278" s="2">
        <v>1264</v>
      </c>
      <c r="C278" s="19" t="s">
        <v>971</v>
      </c>
      <c r="D278" s="19" t="s">
        <v>2</v>
      </c>
      <c r="E278" s="19" t="s">
        <v>2</v>
      </c>
      <c r="F278" s="19" t="s">
        <v>972</v>
      </c>
      <c r="G278" s="19" t="s">
        <v>973</v>
      </c>
      <c r="H278" s="19" t="s">
        <v>974</v>
      </c>
      <c r="I278" s="19" t="s">
        <v>975</v>
      </c>
      <c r="J278" s="2" t="s">
        <v>2</v>
      </c>
      <c r="K278" s="20">
        <v>45762.125</v>
      </c>
      <c r="L278" s="20">
        <v>45763.125</v>
      </c>
      <c r="M278" s="22">
        <v>300</v>
      </c>
      <c r="N278" s="21">
        <v>369000</v>
      </c>
      <c r="O278" s="2" t="s">
        <v>76</v>
      </c>
      <c r="P278" s="2" t="s">
        <v>4</v>
      </c>
      <c r="Q278" s="2" t="s">
        <v>5</v>
      </c>
      <c r="R278" s="21">
        <f t="shared" si="36"/>
        <v>369000</v>
      </c>
      <c r="S278" s="21">
        <v>369000</v>
      </c>
      <c r="T278" s="5">
        <f t="shared" si="37"/>
        <v>1499600</v>
      </c>
      <c r="V278">
        <f t="shared" si="38"/>
        <v>4</v>
      </c>
      <c r="W278">
        <f t="shared" si="39"/>
        <v>4</v>
      </c>
      <c r="X278" s="5">
        <f t="shared" si="40"/>
        <v>0</v>
      </c>
      <c r="Y278" s="2" t="s">
        <v>6</v>
      </c>
      <c r="Z278" s="2" t="s">
        <v>2</v>
      </c>
      <c r="AA278">
        <v>833</v>
      </c>
      <c r="AC278">
        <f t="shared" si="41"/>
        <v>2025</v>
      </c>
      <c r="AD278">
        <f t="shared" si="42"/>
        <v>2025</v>
      </c>
      <c r="AE278">
        <f t="shared" si="43"/>
        <v>2025</v>
      </c>
      <c r="AF278">
        <f t="shared" si="44"/>
        <v>4</v>
      </c>
    </row>
    <row r="279" spans="1:32" x14ac:dyDescent="0.25">
      <c r="A279" s="59">
        <v>45763.125</v>
      </c>
      <c r="B279" s="2">
        <v>1265</v>
      </c>
      <c r="C279" s="19" t="s">
        <v>0</v>
      </c>
      <c r="D279" s="19" t="s">
        <v>112</v>
      </c>
      <c r="E279" s="19" t="s">
        <v>2</v>
      </c>
      <c r="F279" s="19" t="s">
        <v>976</v>
      </c>
      <c r="G279" s="19" t="s">
        <v>164</v>
      </c>
      <c r="H279" s="19" t="s">
        <v>977</v>
      </c>
      <c r="I279" s="19" t="s">
        <v>978</v>
      </c>
      <c r="J279" s="2" t="s">
        <v>979</v>
      </c>
      <c r="K279" s="20">
        <v>45763.125</v>
      </c>
      <c r="L279" s="20"/>
      <c r="M279" s="22">
        <v>0</v>
      </c>
      <c r="N279" s="21">
        <v>0</v>
      </c>
      <c r="O279" s="2" t="s">
        <v>3</v>
      </c>
      <c r="P279" s="2" t="s">
        <v>129</v>
      </c>
      <c r="Q279" s="2" t="s">
        <v>98</v>
      </c>
      <c r="R279" s="21">
        <f t="shared" si="36"/>
        <v>0</v>
      </c>
      <c r="S279" s="21">
        <v>0</v>
      </c>
      <c r="T279" s="5">
        <f t="shared" si="37"/>
        <v>1499600</v>
      </c>
      <c r="V279">
        <f t="shared" si="38"/>
        <v>4</v>
      </c>
      <c r="W279">
        <f t="shared" si="39"/>
        <v>4</v>
      </c>
      <c r="X279" s="5">
        <f t="shared" si="40"/>
        <v>0</v>
      </c>
      <c r="Y279" s="2" t="s">
        <v>6</v>
      </c>
      <c r="Z279" s="2" t="s">
        <v>2</v>
      </c>
      <c r="AC279">
        <f t="shared" si="41"/>
        <v>2025</v>
      </c>
      <c r="AD279">
        <f t="shared" si="42"/>
        <v>2025</v>
      </c>
      <c r="AE279" t="str">
        <f t="shared" si="43"/>
        <v/>
      </c>
      <c r="AF279" t="str">
        <f t="shared" si="44"/>
        <v/>
      </c>
    </row>
    <row r="280" spans="1:32" x14ac:dyDescent="0.25">
      <c r="A280" s="59">
        <v>45768.125</v>
      </c>
      <c r="B280" s="2">
        <v>1266</v>
      </c>
      <c r="C280" s="19" t="s">
        <v>264</v>
      </c>
      <c r="D280" s="19" t="s">
        <v>2</v>
      </c>
      <c r="E280" s="19" t="s">
        <v>2</v>
      </c>
      <c r="F280" s="19" t="s">
        <v>107</v>
      </c>
      <c r="G280" s="19" t="s">
        <v>108</v>
      </c>
      <c r="H280" s="19" t="s">
        <v>266</v>
      </c>
      <c r="I280" s="19" t="s">
        <v>267</v>
      </c>
      <c r="J280" s="2" t="s">
        <v>2</v>
      </c>
      <c r="K280" s="20">
        <v>45768.125</v>
      </c>
      <c r="L280" s="20">
        <v>45769.125</v>
      </c>
      <c r="M280" s="22">
        <v>183.5</v>
      </c>
      <c r="N280" s="21">
        <v>202500</v>
      </c>
      <c r="O280" s="2" t="s">
        <v>3</v>
      </c>
      <c r="P280" s="2" t="s">
        <v>4</v>
      </c>
      <c r="Q280" s="2" t="s">
        <v>5</v>
      </c>
      <c r="R280" s="21">
        <f t="shared" si="36"/>
        <v>202500</v>
      </c>
      <c r="S280" s="21">
        <v>0</v>
      </c>
      <c r="T280" s="5">
        <f t="shared" si="37"/>
        <v>1702100</v>
      </c>
      <c r="V280">
        <f t="shared" si="38"/>
        <v>4</v>
      </c>
      <c r="W280">
        <f t="shared" si="39"/>
        <v>4</v>
      </c>
      <c r="X280" s="5">
        <f t="shared" si="40"/>
        <v>-202500</v>
      </c>
      <c r="Y280" s="2" t="s">
        <v>6</v>
      </c>
      <c r="Z280" s="2" t="s">
        <v>2</v>
      </c>
      <c r="AA280">
        <v>834</v>
      </c>
      <c r="AC280">
        <f t="shared" si="41"/>
        <v>2025</v>
      </c>
      <c r="AD280">
        <f t="shared" si="42"/>
        <v>2025</v>
      </c>
      <c r="AE280">
        <f t="shared" si="43"/>
        <v>2025</v>
      </c>
      <c r="AF280">
        <f t="shared" si="44"/>
        <v>4</v>
      </c>
    </row>
    <row r="281" spans="1:32" x14ac:dyDescent="0.25">
      <c r="A281" s="59">
        <v>45768.125</v>
      </c>
      <c r="B281" s="2">
        <v>1267</v>
      </c>
      <c r="C281" s="19" t="s">
        <v>368</v>
      </c>
      <c r="D281" s="19" t="s">
        <v>2</v>
      </c>
      <c r="E281" s="19" t="s">
        <v>2</v>
      </c>
      <c r="F281" s="19" t="s">
        <v>107</v>
      </c>
      <c r="G281" s="19" t="s">
        <v>588</v>
      </c>
      <c r="H281" s="19" t="s">
        <v>946</v>
      </c>
      <c r="I281" s="19" t="s">
        <v>980</v>
      </c>
      <c r="J281" s="2" t="s">
        <v>2</v>
      </c>
      <c r="K281" s="20">
        <v>45768.125</v>
      </c>
      <c r="L281" s="20">
        <v>45771.125</v>
      </c>
      <c r="M281" s="22">
        <v>400</v>
      </c>
      <c r="N281" s="21">
        <v>439500</v>
      </c>
      <c r="O281" s="2" t="s">
        <v>3</v>
      </c>
      <c r="P281" s="2" t="s">
        <v>4</v>
      </c>
      <c r="Q281" s="2" t="s">
        <v>5</v>
      </c>
      <c r="R281" s="21">
        <f t="shared" si="36"/>
        <v>439500</v>
      </c>
      <c r="S281" s="21">
        <v>0</v>
      </c>
      <c r="T281" s="5">
        <f t="shared" si="37"/>
        <v>2141600</v>
      </c>
      <c r="V281">
        <f t="shared" si="38"/>
        <v>4</v>
      </c>
      <c r="W281">
        <f t="shared" si="39"/>
        <v>4</v>
      </c>
      <c r="X281" s="5">
        <f t="shared" si="40"/>
        <v>-439500</v>
      </c>
      <c r="Y281" s="2" t="s">
        <v>6</v>
      </c>
      <c r="Z281" s="2" t="s">
        <v>2</v>
      </c>
      <c r="AA281">
        <v>838</v>
      </c>
      <c r="AC281">
        <f t="shared" si="41"/>
        <v>2025</v>
      </c>
      <c r="AD281">
        <f t="shared" si="42"/>
        <v>2025</v>
      </c>
      <c r="AE281">
        <f t="shared" si="43"/>
        <v>2025</v>
      </c>
      <c r="AF281">
        <f t="shared" si="44"/>
        <v>4</v>
      </c>
    </row>
    <row r="282" spans="1:32" x14ac:dyDescent="0.25">
      <c r="A282" s="59">
        <v>45768.125</v>
      </c>
      <c r="B282" s="2">
        <v>1268</v>
      </c>
      <c r="C282" s="19" t="s">
        <v>981</v>
      </c>
      <c r="D282" s="19" t="s">
        <v>2</v>
      </c>
      <c r="E282" s="19" t="s">
        <v>2</v>
      </c>
      <c r="F282" s="19" t="s">
        <v>982</v>
      </c>
      <c r="G282" s="19" t="s">
        <v>983</v>
      </c>
      <c r="H282" s="19" t="s">
        <v>984</v>
      </c>
      <c r="I282" s="19" t="s">
        <v>985</v>
      </c>
      <c r="J282" s="2" t="s">
        <v>2</v>
      </c>
      <c r="K282" s="20">
        <v>45768.125</v>
      </c>
      <c r="L282" s="20">
        <v>45769.125</v>
      </c>
      <c r="M282" s="22">
        <v>150</v>
      </c>
      <c r="N282" s="21">
        <v>167000</v>
      </c>
      <c r="O282" s="2" t="s">
        <v>3</v>
      </c>
      <c r="P282" s="2" t="s">
        <v>4</v>
      </c>
      <c r="Q282" s="2" t="s">
        <v>5</v>
      </c>
      <c r="R282" s="21">
        <f t="shared" si="36"/>
        <v>167000</v>
      </c>
      <c r="S282" s="21">
        <v>167000</v>
      </c>
      <c r="T282" s="5">
        <f t="shared" si="37"/>
        <v>2141600</v>
      </c>
      <c r="V282">
        <f t="shared" si="38"/>
        <v>4</v>
      </c>
      <c r="W282">
        <f t="shared" si="39"/>
        <v>4</v>
      </c>
      <c r="X282" s="5">
        <f t="shared" si="40"/>
        <v>0</v>
      </c>
      <c r="Y282" s="2" t="s">
        <v>6</v>
      </c>
      <c r="Z282" s="2" t="s">
        <v>2</v>
      </c>
      <c r="AA282">
        <v>835</v>
      </c>
      <c r="AC282">
        <f t="shared" si="41"/>
        <v>2025</v>
      </c>
      <c r="AD282">
        <f t="shared" si="42"/>
        <v>2025</v>
      </c>
      <c r="AE282">
        <f t="shared" si="43"/>
        <v>2025</v>
      </c>
      <c r="AF282">
        <f t="shared" si="44"/>
        <v>4</v>
      </c>
    </row>
    <row r="283" spans="1:32" x14ac:dyDescent="0.25">
      <c r="A283" s="59">
        <v>45770.125</v>
      </c>
      <c r="B283" s="2">
        <v>1269</v>
      </c>
      <c r="C283" s="19" t="s">
        <v>402</v>
      </c>
      <c r="D283" s="19" t="s">
        <v>2</v>
      </c>
      <c r="E283" s="19" t="s">
        <v>2</v>
      </c>
      <c r="F283" s="19" t="s">
        <v>107</v>
      </c>
      <c r="G283" s="19" t="s">
        <v>108</v>
      </c>
      <c r="H283" s="19" t="s">
        <v>986</v>
      </c>
      <c r="I283" s="19" t="s">
        <v>987</v>
      </c>
      <c r="J283" s="2" t="s">
        <v>2</v>
      </c>
      <c r="K283" s="20">
        <v>45770.125</v>
      </c>
      <c r="L283" s="20"/>
      <c r="M283" s="22">
        <v>600</v>
      </c>
      <c r="N283" s="21">
        <v>702000</v>
      </c>
      <c r="O283" s="2" t="s">
        <v>3</v>
      </c>
      <c r="P283" s="2" t="s">
        <v>129</v>
      </c>
      <c r="Q283" s="2" t="s">
        <v>98</v>
      </c>
      <c r="R283" s="21">
        <f t="shared" si="36"/>
        <v>0</v>
      </c>
      <c r="S283" s="21">
        <v>0</v>
      </c>
      <c r="T283" s="5">
        <f t="shared" si="37"/>
        <v>2141600</v>
      </c>
      <c r="V283">
        <f t="shared" si="38"/>
        <v>4</v>
      </c>
      <c r="W283">
        <f t="shared" si="39"/>
        <v>4</v>
      </c>
      <c r="X283" s="5">
        <f t="shared" si="40"/>
        <v>0</v>
      </c>
      <c r="Y283" s="2" t="s">
        <v>6</v>
      </c>
      <c r="Z283" s="2" t="s">
        <v>2</v>
      </c>
      <c r="AC283">
        <f t="shared" si="41"/>
        <v>2025</v>
      </c>
      <c r="AD283">
        <f t="shared" si="42"/>
        <v>2025</v>
      </c>
      <c r="AE283" t="str">
        <f t="shared" si="43"/>
        <v/>
      </c>
      <c r="AF283" t="str">
        <f t="shared" si="44"/>
        <v/>
      </c>
    </row>
    <row r="284" spans="1:32" x14ac:dyDescent="0.25">
      <c r="A284" s="59">
        <v>45770.125</v>
      </c>
      <c r="B284" s="2">
        <v>1270</v>
      </c>
      <c r="C284" s="19" t="s">
        <v>1</v>
      </c>
      <c r="D284" s="19" t="s">
        <v>2</v>
      </c>
      <c r="E284" s="19" t="s">
        <v>2</v>
      </c>
      <c r="F284" s="19" t="s">
        <v>137</v>
      </c>
      <c r="G284" s="19" t="s">
        <v>138</v>
      </c>
      <c r="H284" s="19" t="s">
        <v>988</v>
      </c>
      <c r="I284" s="19" t="s">
        <v>989</v>
      </c>
      <c r="J284" s="2" t="s">
        <v>2</v>
      </c>
      <c r="K284" s="20">
        <v>45770.125</v>
      </c>
      <c r="L284" s="20">
        <v>45770.125</v>
      </c>
      <c r="M284" s="22">
        <v>140</v>
      </c>
      <c r="N284" s="21">
        <v>167500</v>
      </c>
      <c r="O284" s="2" t="s">
        <v>3</v>
      </c>
      <c r="P284" s="2" t="s">
        <v>4</v>
      </c>
      <c r="Q284" s="2" t="s">
        <v>5</v>
      </c>
      <c r="R284" s="21">
        <f t="shared" si="36"/>
        <v>167500</v>
      </c>
      <c r="S284" s="21">
        <v>167500</v>
      </c>
      <c r="T284" s="5">
        <f t="shared" si="37"/>
        <v>2141600</v>
      </c>
      <c r="V284">
        <f t="shared" si="38"/>
        <v>4</v>
      </c>
      <c r="W284">
        <f t="shared" si="39"/>
        <v>4</v>
      </c>
      <c r="X284" s="5">
        <f t="shared" si="40"/>
        <v>0</v>
      </c>
      <c r="Y284" s="2" t="s">
        <v>6</v>
      </c>
      <c r="Z284" s="2" t="s">
        <v>2</v>
      </c>
      <c r="AA284">
        <v>839</v>
      </c>
      <c r="AC284">
        <f t="shared" si="41"/>
        <v>2025</v>
      </c>
      <c r="AD284">
        <f t="shared" si="42"/>
        <v>2025</v>
      </c>
      <c r="AE284">
        <f t="shared" si="43"/>
        <v>2025</v>
      </c>
      <c r="AF284">
        <f t="shared" si="44"/>
        <v>4</v>
      </c>
    </row>
    <row r="285" spans="1:32" x14ac:dyDescent="0.25">
      <c r="A285" s="59">
        <v>45770.125</v>
      </c>
      <c r="B285" s="2">
        <v>1271</v>
      </c>
      <c r="C285" s="19" t="s">
        <v>1</v>
      </c>
      <c r="D285" s="19" t="s">
        <v>2</v>
      </c>
      <c r="E285" s="19" t="s">
        <v>2</v>
      </c>
      <c r="F285" s="19" t="s">
        <v>137</v>
      </c>
      <c r="G285" s="19" t="s">
        <v>138</v>
      </c>
      <c r="H285" s="19" t="s">
        <v>797</v>
      </c>
      <c r="I285" s="19" t="s">
        <v>990</v>
      </c>
      <c r="J285" s="2" t="s">
        <v>2</v>
      </c>
      <c r="K285" s="20">
        <v>45770.125</v>
      </c>
      <c r="L285" s="20">
        <v>45770.125</v>
      </c>
      <c r="M285" s="22">
        <v>130</v>
      </c>
      <c r="N285" s="21">
        <v>152000</v>
      </c>
      <c r="O285" s="2" t="s">
        <v>3</v>
      </c>
      <c r="P285" s="2" t="s">
        <v>4</v>
      </c>
      <c r="Q285" s="2" t="s">
        <v>5</v>
      </c>
      <c r="R285" s="21">
        <f t="shared" si="36"/>
        <v>152000</v>
      </c>
      <c r="S285" s="21">
        <v>152000</v>
      </c>
      <c r="T285" s="5">
        <f t="shared" si="37"/>
        <v>2141600</v>
      </c>
      <c r="V285">
        <f t="shared" si="38"/>
        <v>4</v>
      </c>
      <c r="W285">
        <f t="shared" si="39"/>
        <v>4</v>
      </c>
      <c r="X285" s="5">
        <f t="shared" si="40"/>
        <v>0</v>
      </c>
      <c r="Y285" s="2" t="s">
        <v>6</v>
      </c>
      <c r="Z285" s="2" t="s">
        <v>2</v>
      </c>
      <c r="AA285">
        <v>839</v>
      </c>
      <c r="AC285">
        <f t="shared" si="41"/>
        <v>2025</v>
      </c>
      <c r="AD285">
        <f t="shared" si="42"/>
        <v>2025</v>
      </c>
      <c r="AE285">
        <f t="shared" si="43"/>
        <v>2025</v>
      </c>
      <c r="AF285">
        <f t="shared" si="44"/>
        <v>4</v>
      </c>
    </row>
    <row r="286" spans="1:32" x14ac:dyDescent="0.25">
      <c r="A286" s="59">
        <v>45771.125</v>
      </c>
      <c r="B286" s="2">
        <v>1272</v>
      </c>
      <c r="C286" s="19" t="s">
        <v>928</v>
      </c>
      <c r="D286" s="19" t="s">
        <v>2</v>
      </c>
      <c r="E286" s="19" t="s">
        <v>2</v>
      </c>
      <c r="F286" s="19" t="s">
        <v>991</v>
      </c>
      <c r="G286" s="19" t="s">
        <v>992</v>
      </c>
      <c r="H286" s="19" t="s">
        <v>993</v>
      </c>
      <c r="I286" s="19" t="s">
        <v>994</v>
      </c>
      <c r="J286" s="2" t="s">
        <v>2</v>
      </c>
      <c r="K286" s="20">
        <v>45771.125</v>
      </c>
      <c r="L286" s="20">
        <v>45772.125</v>
      </c>
      <c r="M286" s="22">
        <v>230</v>
      </c>
      <c r="N286" s="21">
        <v>276000</v>
      </c>
      <c r="O286" s="2" t="s">
        <v>3</v>
      </c>
      <c r="P286" s="2" t="s">
        <v>4</v>
      </c>
      <c r="Q286" s="2" t="s">
        <v>5</v>
      </c>
      <c r="R286" s="21">
        <f t="shared" si="36"/>
        <v>276000</v>
      </c>
      <c r="S286" s="21">
        <v>0</v>
      </c>
      <c r="T286" s="5">
        <f t="shared" si="37"/>
        <v>2417600</v>
      </c>
      <c r="V286">
        <f t="shared" si="38"/>
        <v>4</v>
      </c>
      <c r="W286">
        <f t="shared" si="39"/>
        <v>4</v>
      </c>
      <c r="X286" s="5">
        <f t="shared" si="40"/>
        <v>-276000</v>
      </c>
      <c r="Y286" s="2" t="s">
        <v>6</v>
      </c>
      <c r="Z286" s="2" t="s">
        <v>2</v>
      </c>
      <c r="AC286">
        <f t="shared" si="41"/>
        <v>2025</v>
      </c>
      <c r="AD286">
        <f t="shared" si="42"/>
        <v>2025</v>
      </c>
      <c r="AE286">
        <f t="shared" si="43"/>
        <v>2025</v>
      </c>
      <c r="AF286">
        <f t="shared" si="44"/>
        <v>4</v>
      </c>
    </row>
    <row r="287" spans="1:32" x14ac:dyDescent="0.25">
      <c r="A287" s="59">
        <v>45771.125</v>
      </c>
      <c r="B287" s="2">
        <v>1273</v>
      </c>
      <c r="C287" s="19" t="s">
        <v>537</v>
      </c>
      <c r="D287" s="19" t="s">
        <v>2</v>
      </c>
      <c r="E287" s="19" t="s">
        <v>2</v>
      </c>
      <c r="F287" s="19" t="s">
        <v>87</v>
      </c>
      <c r="G287" s="19" t="s">
        <v>95</v>
      </c>
      <c r="H287" s="19" t="s">
        <v>271</v>
      </c>
      <c r="I287" s="19" t="s">
        <v>995</v>
      </c>
      <c r="J287" s="2" t="s">
        <v>2</v>
      </c>
      <c r="K287" s="20">
        <v>45772.125</v>
      </c>
      <c r="L287" s="20">
        <v>45772.125</v>
      </c>
      <c r="M287" s="22">
        <v>170</v>
      </c>
      <c r="N287" s="21">
        <v>204000</v>
      </c>
      <c r="O287" s="2" t="s">
        <v>3</v>
      </c>
      <c r="P287" s="2" t="s">
        <v>4</v>
      </c>
      <c r="Q287" s="2" t="s">
        <v>5</v>
      </c>
      <c r="R287" s="21">
        <f t="shared" si="36"/>
        <v>204000</v>
      </c>
      <c r="S287" s="21">
        <v>0</v>
      </c>
      <c r="T287" s="5">
        <f t="shared" si="37"/>
        <v>2621600</v>
      </c>
      <c r="V287">
        <f t="shared" si="38"/>
        <v>4</v>
      </c>
      <c r="W287">
        <f t="shared" si="39"/>
        <v>4</v>
      </c>
      <c r="X287" s="5">
        <f t="shared" si="40"/>
        <v>-204000</v>
      </c>
      <c r="Y287" s="2" t="s">
        <v>6</v>
      </c>
      <c r="Z287" s="2" t="s">
        <v>2</v>
      </c>
      <c r="AA287">
        <v>840</v>
      </c>
      <c r="AC287">
        <f t="shared" si="41"/>
        <v>2025</v>
      </c>
      <c r="AD287">
        <f t="shared" si="42"/>
        <v>2025</v>
      </c>
      <c r="AE287">
        <f t="shared" si="43"/>
        <v>2025</v>
      </c>
      <c r="AF287">
        <f t="shared" si="44"/>
        <v>4</v>
      </c>
    </row>
    <row r="288" spans="1:32" x14ac:dyDescent="0.25">
      <c r="A288" s="59">
        <v>45772.125</v>
      </c>
      <c r="B288" s="2">
        <v>1274</v>
      </c>
      <c r="C288" s="19" t="s">
        <v>575</v>
      </c>
      <c r="D288" s="19" t="s">
        <v>2</v>
      </c>
      <c r="E288" s="19" t="s">
        <v>2</v>
      </c>
      <c r="F288" s="19" t="s">
        <v>389</v>
      </c>
      <c r="G288" s="19" t="s">
        <v>352</v>
      </c>
      <c r="H288" s="19" t="s">
        <v>432</v>
      </c>
      <c r="I288" s="19" t="s">
        <v>996</v>
      </c>
      <c r="J288" s="2" t="s">
        <v>2</v>
      </c>
      <c r="K288" s="20">
        <v>45772.125</v>
      </c>
      <c r="L288" s="20">
        <v>45772.125</v>
      </c>
      <c r="M288" s="22">
        <v>200</v>
      </c>
      <c r="N288" s="21">
        <v>240000</v>
      </c>
      <c r="O288" s="2" t="s">
        <v>3</v>
      </c>
      <c r="P288" s="2" t="s">
        <v>4</v>
      </c>
      <c r="Q288" s="2" t="s">
        <v>5</v>
      </c>
      <c r="R288" s="21">
        <f t="shared" si="36"/>
        <v>240000</v>
      </c>
      <c r="S288" s="21">
        <v>0</v>
      </c>
      <c r="T288" s="5">
        <f t="shared" si="37"/>
        <v>2861600</v>
      </c>
      <c r="V288">
        <f t="shared" si="38"/>
        <v>4</v>
      </c>
      <c r="W288">
        <f t="shared" si="39"/>
        <v>4</v>
      </c>
      <c r="X288" s="5">
        <f t="shared" si="40"/>
        <v>-240000</v>
      </c>
      <c r="Y288" s="2" t="s">
        <v>6</v>
      </c>
      <c r="Z288" s="2" t="s">
        <v>2</v>
      </c>
      <c r="AC288">
        <f t="shared" si="41"/>
        <v>2025</v>
      </c>
      <c r="AD288">
        <f t="shared" si="42"/>
        <v>2025</v>
      </c>
      <c r="AE288">
        <f t="shared" si="43"/>
        <v>2025</v>
      </c>
      <c r="AF288">
        <f t="shared" si="44"/>
        <v>4</v>
      </c>
    </row>
    <row r="289" spans="1:32" x14ac:dyDescent="0.25">
      <c r="A289" s="59">
        <v>45772.125</v>
      </c>
      <c r="B289" s="2">
        <v>1275</v>
      </c>
      <c r="C289" s="19" t="s">
        <v>997</v>
      </c>
      <c r="D289" s="19" t="s">
        <v>2</v>
      </c>
      <c r="E289" s="19" t="s">
        <v>2</v>
      </c>
      <c r="F289" s="19" t="s">
        <v>892</v>
      </c>
      <c r="G289" s="19" t="s">
        <v>998</v>
      </c>
      <c r="H289" s="19" t="s">
        <v>999</v>
      </c>
      <c r="I289" s="19" t="s">
        <v>1000</v>
      </c>
      <c r="J289" s="2" t="s">
        <v>2</v>
      </c>
      <c r="K289" s="20">
        <v>45772.125</v>
      </c>
      <c r="L289" s="20"/>
      <c r="M289" s="22">
        <v>188</v>
      </c>
      <c r="N289" s="21">
        <v>225000</v>
      </c>
      <c r="O289" s="2" t="s">
        <v>3</v>
      </c>
      <c r="P289" s="2" t="s">
        <v>129</v>
      </c>
      <c r="Q289" s="2" t="s">
        <v>98</v>
      </c>
      <c r="R289" s="21">
        <f t="shared" si="36"/>
        <v>0</v>
      </c>
      <c r="S289" s="21">
        <v>0</v>
      </c>
      <c r="T289" s="5">
        <f t="shared" si="37"/>
        <v>2861600</v>
      </c>
      <c r="V289">
        <f t="shared" si="38"/>
        <v>4</v>
      </c>
      <c r="W289">
        <f t="shared" si="39"/>
        <v>4</v>
      </c>
      <c r="X289" s="5">
        <f t="shared" si="40"/>
        <v>0</v>
      </c>
      <c r="Y289" s="2" t="s">
        <v>6</v>
      </c>
      <c r="Z289" s="2" t="s">
        <v>2</v>
      </c>
      <c r="AC289">
        <f t="shared" si="41"/>
        <v>2025</v>
      </c>
      <c r="AD289">
        <f t="shared" si="42"/>
        <v>2025</v>
      </c>
      <c r="AE289" t="str">
        <f t="shared" si="43"/>
        <v/>
      </c>
      <c r="AF289" t="str">
        <f t="shared" si="44"/>
        <v/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topLeftCell="A13" zoomScaleNormal="100" workbookViewId="0">
      <selection activeCell="B22" sqref="B22"/>
    </sheetView>
  </sheetViews>
  <sheetFormatPr baseColWidth="10" defaultRowHeight="15" x14ac:dyDescent="0.25"/>
  <cols>
    <col min="6" max="6" width="11.42578125" style="5"/>
    <col min="9" max="9" width="11.42578125" style="6"/>
    <col min="12" max="12" width="12.7109375" bestFit="1" customWidth="1"/>
    <col min="18" max="18" width="11.42578125" style="3"/>
    <col min="20" max="20" width="11.42578125" style="3"/>
  </cols>
  <sheetData>
    <row r="1" spans="1:12" ht="88.5" thickBot="1" x14ac:dyDescent="0.3">
      <c r="A1" s="26">
        <v>2024</v>
      </c>
      <c r="B1" s="23" t="s">
        <v>39</v>
      </c>
      <c r="C1" s="23" t="s">
        <v>40</v>
      </c>
      <c r="D1" s="23" t="s">
        <v>41</v>
      </c>
      <c r="E1" s="23" t="s">
        <v>121</v>
      </c>
      <c r="F1" s="25" t="s">
        <v>42</v>
      </c>
      <c r="G1" s="24" t="s">
        <v>1001</v>
      </c>
      <c r="H1" s="23" t="s">
        <v>58</v>
      </c>
      <c r="I1" s="40" t="s">
        <v>122</v>
      </c>
      <c r="J1" s="50"/>
      <c r="K1" s="50" t="s">
        <v>43</v>
      </c>
      <c r="L1" s="51" t="s">
        <v>44</v>
      </c>
    </row>
    <row r="2" spans="1:12" x14ac:dyDescent="0.25">
      <c r="A2" s="52" t="s">
        <v>45</v>
      </c>
      <c r="B2" s="47">
        <v>700000</v>
      </c>
      <c r="C2" s="47"/>
      <c r="D2" s="47">
        <v>700000</v>
      </c>
      <c r="E2" s="48">
        <f>[1]Enero!$D$8+[1]Enero!$D$10</f>
        <v>3400</v>
      </c>
      <c r="F2" s="48">
        <f>[1]Enero!$D$5</f>
        <v>4100</v>
      </c>
      <c r="G2" s="48">
        <f>[2]Enero!$D$6</f>
        <v>0</v>
      </c>
      <c r="H2" s="48">
        <v>42052.97</v>
      </c>
      <c r="I2" s="48">
        <f>[1]Enero!$D$7+ [1]Enero!$D$9</f>
        <v>1300</v>
      </c>
      <c r="J2" s="43"/>
      <c r="K2" s="41">
        <f>[1]Enero!$C$58</f>
        <v>13729.76</v>
      </c>
      <c r="L2" s="44">
        <f t="shared" ref="L2:L13" si="0">SUM(B2:K2)</f>
        <v>1464582.73</v>
      </c>
    </row>
    <row r="3" spans="1:12" x14ac:dyDescent="0.25">
      <c r="A3" s="52" t="s">
        <v>46</v>
      </c>
      <c r="B3" s="48">
        <v>770000</v>
      </c>
      <c r="C3" s="48"/>
      <c r="D3" s="48">
        <v>770000</v>
      </c>
      <c r="E3" s="48">
        <f>[1]Febrero!$D$8+[1]Febrero!$D$10</f>
        <v>3400</v>
      </c>
      <c r="F3" s="48">
        <f>[1]Febrero!$D$5</f>
        <v>6500</v>
      </c>
      <c r="G3" s="48">
        <f>[2]Febrero!$D$6</f>
        <v>0</v>
      </c>
      <c r="H3" s="48">
        <v>52019.61</v>
      </c>
      <c r="I3" s="48">
        <f>[1]Febrero!$D$7+ [1]Febrero!$D$9</f>
        <v>218540</v>
      </c>
      <c r="J3" s="43"/>
      <c r="K3" s="41">
        <f>[1]Febrero!$C$58</f>
        <v>162908.07</v>
      </c>
      <c r="L3" s="44">
        <f t="shared" si="0"/>
        <v>1983367.6800000002</v>
      </c>
    </row>
    <row r="4" spans="1:12" x14ac:dyDescent="0.25">
      <c r="A4" s="52" t="s">
        <v>47</v>
      </c>
      <c r="B4" s="48">
        <v>770000</v>
      </c>
      <c r="C4" s="48"/>
      <c r="D4" s="48">
        <v>770000</v>
      </c>
      <c r="E4" s="48">
        <f>[1]Marzo!$D$8+[1]Marzo!$D$10</f>
        <v>4200</v>
      </c>
      <c r="F4" s="48">
        <f>[1]Marzo!$D$5</f>
        <v>6500</v>
      </c>
      <c r="G4" s="48">
        <f>[2]Marzo!$D$6</f>
        <v>0</v>
      </c>
      <c r="H4" s="48">
        <v>52019.61</v>
      </c>
      <c r="I4" s="48">
        <f>[1]Marzo!$D$7+ [1]Marzo!$D$9</f>
        <v>257410</v>
      </c>
      <c r="J4" s="43"/>
      <c r="K4" s="41">
        <f>[1]Marzo!$C$58</f>
        <v>69024.19</v>
      </c>
      <c r="L4" s="44">
        <f t="shared" si="0"/>
        <v>1929153.8</v>
      </c>
    </row>
    <row r="5" spans="1:12" x14ac:dyDescent="0.25">
      <c r="A5" s="52" t="s">
        <v>48</v>
      </c>
      <c r="B5" s="48">
        <v>770000</v>
      </c>
      <c r="C5" s="48"/>
      <c r="D5" s="48">
        <v>770000</v>
      </c>
      <c r="E5" s="48">
        <f>[1]Abril!$D$8+[1]Abril!$D$10</f>
        <v>4200</v>
      </c>
      <c r="F5" s="48">
        <f>[1]Abril!$D$5</f>
        <v>12350</v>
      </c>
      <c r="G5" s="48">
        <f>[2]Abril!$D$6</f>
        <v>0</v>
      </c>
      <c r="H5" s="48">
        <v>52019.61</v>
      </c>
      <c r="I5" s="48">
        <f>[1]Abril!$D$7+ [1]Abril!$D$9</f>
        <v>303300</v>
      </c>
      <c r="J5" s="43"/>
      <c r="K5" s="41">
        <f>[1]Abril!$C$58</f>
        <v>31252.73</v>
      </c>
      <c r="L5" s="44">
        <f t="shared" si="0"/>
        <v>1943122.34</v>
      </c>
    </row>
    <row r="6" spans="1:12" x14ac:dyDescent="0.25">
      <c r="A6" s="52" t="s">
        <v>49</v>
      </c>
      <c r="B6" s="48">
        <v>770000</v>
      </c>
      <c r="C6" s="48"/>
      <c r="D6" s="48">
        <v>770000</v>
      </c>
      <c r="E6" s="48">
        <f>[1]Mayo!$D$8+[1]Mayo!$D$10</f>
        <v>6300</v>
      </c>
      <c r="F6" s="48">
        <f>[1]Mayo!$D$5</f>
        <v>13215</v>
      </c>
      <c r="G6" s="48">
        <f>[2]Mayo!$D$6</f>
        <v>0</v>
      </c>
      <c r="H6" s="48">
        <v>52019.61</v>
      </c>
      <c r="I6" s="48">
        <f>[1]Mayo!$D$7 + [1]Mayo!$D$9</f>
        <v>333340</v>
      </c>
      <c r="J6" s="43"/>
      <c r="K6" s="41">
        <f>[1]Mayo!$C$60</f>
        <v>309378.47000000003</v>
      </c>
      <c r="L6" s="44">
        <f t="shared" si="0"/>
        <v>2254253.08</v>
      </c>
    </row>
    <row r="7" spans="1:12" x14ac:dyDescent="0.25">
      <c r="A7" s="52" t="s">
        <v>50</v>
      </c>
      <c r="B7" s="48">
        <v>900000</v>
      </c>
      <c r="C7" s="48"/>
      <c r="D7" s="48">
        <v>900000</v>
      </c>
      <c r="E7" s="48">
        <f>[1]Junio!$D$8+[1]Junio!$D$10</f>
        <v>6300</v>
      </c>
      <c r="F7" s="48">
        <f>[1]Junio!$D$5</f>
        <v>15000</v>
      </c>
      <c r="G7" s="48">
        <f>[2]Junio!$D$6</f>
        <v>0</v>
      </c>
      <c r="H7" s="48">
        <v>52019.61</v>
      </c>
      <c r="I7" s="48">
        <f>[1]Junio!$D$7+ [1]Junio!$D$9</f>
        <v>366410</v>
      </c>
      <c r="J7" s="43"/>
      <c r="K7" s="41">
        <f>[1]Junio!$C$58</f>
        <v>195581.22999999998</v>
      </c>
      <c r="L7" s="44">
        <f t="shared" si="0"/>
        <v>2435310.8400000003</v>
      </c>
    </row>
    <row r="8" spans="1:12" x14ac:dyDescent="0.25">
      <c r="A8" s="52" t="s">
        <v>51</v>
      </c>
      <c r="B8" s="48">
        <v>900000</v>
      </c>
      <c r="C8" s="48"/>
      <c r="D8" s="48">
        <v>900000</v>
      </c>
      <c r="E8" s="48">
        <f>[1]Julio!$D$8+[1]Julio!$D$10</f>
        <v>18100</v>
      </c>
      <c r="F8" s="48">
        <f>[1]Julio!$D$5</f>
        <v>25000</v>
      </c>
      <c r="G8" s="48">
        <f>[2]Julio!$D$6</f>
        <v>0</v>
      </c>
      <c r="H8" s="48">
        <v>52019.61</v>
      </c>
      <c r="I8" s="48">
        <f>[1]Julio!$D$7+ [1]Julio!$D$9</f>
        <v>402800</v>
      </c>
      <c r="J8" s="43"/>
      <c r="K8" s="41">
        <f>[1]Julio!$C$58</f>
        <v>169177.97</v>
      </c>
      <c r="L8" s="44">
        <f t="shared" si="0"/>
        <v>2467097.5800000005</v>
      </c>
    </row>
    <row r="9" spans="1:12" x14ac:dyDescent="0.25">
      <c r="A9" s="52" t="s">
        <v>52</v>
      </c>
      <c r="B9" s="48">
        <v>1200000</v>
      </c>
      <c r="C9" s="48"/>
      <c r="D9" s="48">
        <v>1200000</v>
      </c>
      <c r="E9" s="48">
        <f>[1]Agosto!$D$8+[1]Agosto!$D$10</f>
        <v>18100</v>
      </c>
      <c r="F9" s="48">
        <f>[1]Agosto!$D$5</f>
        <v>27500</v>
      </c>
      <c r="G9" s="48">
        <f>[2]Agosto!$D$6</f>
        <v>0</v>
      </c>
      <c r="H9" s="48">
        <v>56764.58</v>
      </c>
      <c r="I9" s="48">
        <f>[1]Agosto!$D$7+ [1]Agosto!$D$9</f>
        <v>402800</v>
      </c>
      <c r="J9" s="43"/>
      <c r="K9" s="41">
        <f>[1]Agosto!$C$58</f>
        <v>593043</v>
      </c>
      <c r="L9" s="44">
        <f t="shared" si="0"/>
        <v>3498207.58</v>
      </c>
    </row>
    <row r="10" spans="1:12" x14ac:dyDescent="0.25">
      <c r="A10" s="52" t="s">
        <v>53</v>
      </c>
      <c r="B10" s="48">
        <v>1200000</v>
      </c>
      <c r="C10" s="48"/>
      <c r="D10" s="48">
        <v>1200000</v>
      </c>
      <c r="E10" s="48">
        <f>[1]Septiembre!$D$8+[1]Septiembre!$D$10</f>
        <v>21400</v>
      </c>
      <c r="F10" s="48">
        <f>[1]Septiembre!$D$5</f>
        <v>33000</v>
      </c>
      <c r="G10" s="48">
        <f>[1]Septiembre!$D$6</f>
        <v>0</v>
      </c>
      <c r="H10" s="48">
        <v>56764.58</v>
      </c>
      <c r="I10" s="48">
        <f>[1]Septiembre!$D$7 + [1]Septiembre!$D$9</f>
        <v>402800</v>
      </c>
      <c r="J10" s="43"/>
      <c r="K10" s="41">
        <f>[1]Septiembre!$C$58</f>
        <v>353258.95</v>
      </c>
      <c r="L10" s="44">
        <f t="shared" si="0"/>
        <v>3267223.5300000003</v>
      </c>
    </row>
    <row r="11" spans="1:12" x14ac:dyDescent="0.25">
      <c r="A11" s="52" t="s">
        <v>54</v>
      </c>
      <c r="B11" s="48">
        <v>1200000</v>
      </c>
      <c r="C11" s="48"/>
      <c r="D11" s="48">
        <v>1200000</v>
      </c>
      <c r="E11" s="48">
        <f>[1]Octubre!$D$8+[1]Octubre!$D$10</f>
        <v>21400</v>
      </c>
      <c r="F11" s="48">
        <f>[1]Octubre!$D$5</f>
        <v>33000</v>
      </c>
      <c r="G11" s="48">
        <f>[1]Octubre!$D$6</f>
        <v>12000</v>
      </c>
      <c r="H11" s="48">
        <v>56764.58</v>
      </c>
      <c r="I11" s="48">
        <f>[1]Octubre!$D$7 + [1]Octubre!$D$9</f>
        <v>402800</v>
      </c>
      <c r="J11" s="43"/>
      <c r="K11" s="41">
        <f>[1]Octubre!$C$58</f>
        <v>304092.08</v>
      </c>
      <c r="L11" s="44">
        <f t="shared" si="0"/>
        <v>3230056.66</v>
      </c>
    </row>
    <row r="12" spans="1:12" x14ac:dyDescent="0.25">
      <c r="A12" s="52" t="s">
        <v>55</v>
      </c>
      <c r="B12" s="48">
        <v>1200000</v>
      </c>
      <c r="C12" s="48"/>
      <c r="D12" s="48">
        <v>1200000</v>
      </c>
      <c r="E12" s="48">
        <f>[1]Noviembre!$D$8+[1]Noviembre!$D$10</f>
        <v>22400</v>
      </c>
      <c r="F12" s="48">
        <f>[1]Noviembre!$D$5</f>
        <v>33000</v>
      </c>
      <c r="G12" s="48">
        <f>[1]Noviembre!$D$6</f>
        <v>12000</v>
      </c>
      <c r="H12" s="48">
        <v>56764.58</v>
      </c>
      <c r="I12" s="48">
        <f>[1]Noviembre!$D$7 + [1]Noviembre!$D$9</f>
        <v>414806</v>
      </c>
      <c r="J12" s="43"/>
      <c r="K12" s="41">
        <f>[1]Noviembre!$C$58</f>
        <v>264846.26</v>
      </c>
      <c r="L12" s="44">
        <f t="shared" si="0"/>
        <v>3203816.84</v>
      </c>
    </row>
    <row r="13" spans="1:12" ht="15.75" thickBot="1" x14ac:dyDescent="0.3">
      <c r="A13" s="53" t="s">
        <v>56</v>
      </c>
      <c r="B13" s="49">
        <v>1500000</v>
      </c>
      <c r="C13" s="49"/>
      <c r="D13" s="49">
        <v>154307</v>
      </c>
      <c r="E13" s="48">
        <f>[1]Diciembre!$D$8+[1]Diciembre!$D$10</f>
        <v>22400</v>
      </c>
      <c r="F13" s="49">
        <f>[1]Diciembre!$D$5</f>
        <v>35000</v>
      </c>
      <c r="G13" s="48">
        <f>[1]Diciembre!$D$6</f>
        <v>12000</v>
      </c>
      <c r="H13" s="48">
        <v>56764.58</v>
      </c>
      <c r="I13" s="48">
        <f>[1]Diciembre!$D$7  + [1]Diciembre!$D$9</f>
        <v>864470</v>
      </c>
      <c r="J13" s="45"/>
      <c r="K13" s="42">
        <f>[1]Diciembre!$C$58</f>
        <v>55572.73000000001</v>
      </c>
      <c r="L13" s="46">
        <f t="shared" si="0"/>
        <v>2700514.31</v>
      </c>
    </row>
    <row r="14" spans="1:12" ht="15.75" thickBot="1" x14ac:dyDescent="0.3">
      <c r="A14" s="54" t="s">
        <v>57</v>
      </c>
      <c r="B14" s="55">
        <f t="shared" ref="B14:L14" si="1">SUM(B2:B13)</f>
        <v>11880000</v>
      </c>
      <c r="C14" s="55">
        <f t="shared" si="1"/>
        <v>0</v>
      </c>
      <c r="D14" s="55">
        <f t="shared" si="1"/>
        <v>10534307</v>
      </c>
      <c r="E14" s="55">
        <f t="shared" si="1"/>
        <v>151600</v>
      </c>
      <c r="F14" s="55">
        <f t="shared" si="1"/>
        <v>244165</v>
      </c>
      <c r="G14" s="55">
        <f t="shared" si="1"/>
        <v>36000</v>
      </c>
      <c r="H14" s="55">
        <f t="shared" si="1"/>
        <v>637993.52999999991</v>
      </c>
      <c r="I14" s="55">
        <f t="shared" si="1"/>
        <v>4370776</v>
      </c>
      <c r="J14" s="56">
        <f t="shared" si="1"/>
        <v>0</v>
      </c>
      <c r="K14" s="57">
        <f t="shared" si="1"/>
        <v>2521865.44</v>
      </c>
      <c r="L14" s="57">
        <f t="shared" si="1"/>
        <v>30376706.969999999</v>
      </c>
    </row>
    <row r="17" spans="1:12" ht="15.75" thickBot="1" x14ac:dyDescent="0.3"/>
    <row r="18" spans="1:12" ht="88.5" thickBot="1" x14ac:dyDescent="0.3">
      <c r="A18" s="26">
        <v>2025</v>
      </c>
      <c r="B18" s="23" t="s">
        <v>39</v>
      </c>
      <c r="C18" s="23" t="s">
        <v>40</v>
      </c>
      <c r="D18" s="23" t="s">
        <v>41</v>
      </c>
      <c r="E18" s="23" t="s">
        <v>121</v>
      </c>
      <c r="F18" s="25" t="s">
        <v>42</v>
      </c>
      <c r="G18" s="24" t="s">
        <v>1001</v>
      </c>
      <c r="H18" s="23" t="s">
        <v>58</v>
      </c>
      <c r="I18" s="40" t="s">
        <v>122</v>
      </c>
      <c r="J18" s="50"/>
      <c r="K18" s="50" t="s">
        <v>43</v>
      </c>
      <c r="L18" s="51" t="s">
        <v>44</v>
      </c>
    </row>
    <row r="19" spans="1:12" x14ac:dyDescent="0.25">
      <c r="A19" s="52" t="s">
        <v>45</v>
      </c>
      <c r="B19" s="47">
        <v>1500000</v>
      </c>
      <c r="C19" s="47"/>
      <c r="D19" s="47"/>
      <c r="E19" s="48">
        <f>[3]Enero!$D$8+[3]Enero!$D$10</f>
        <v>22900</v>
      </c>
      <c r="F19" s="48">
        <f>[3]Enero!$D$5</f>
        <v>36000</v>
      </c>
      <c r="G19" s="48">
        <f>[3]Enero!$D$6</f>
        <v>13500</v>
      </c>
      <c r="H19" s="48">
        <v>56764.58</v>
      </c>
      <c r="I19" s="48">
        <f>[3]Enero!$D$7+ [3]Enero!$D$9</f>
        <v>2600</v>
      </c>
      <c r="J19" s="43"/>
      <c r="K19" s="41">
        <f>[3]Enero!$C$58</f>
        <v>325599.20000000007</v>
      </c>
      <c r="L19" s="44">
        <f t="shared" ref="L19:L30" si="2">SUM(B19:K19)</f>
        <v>1957363.7800000003</v>
      </c>
    </row>
    <row r="20" spans="1:12" x14ac:dyDescent="0.25">
      <c r="A20" s="52" t="s">
        <v>46</v>
      </c>
      <c r="B20" s="48">
        <v>1500000</v>
      </c>
      <c r="C20" s="48"/>
      <c r="D20" s="48"/>
      <c r="E20" s="48">
        <f>[3]Febrero!$D$8+[3]Febrero!$D$10</f>
        <v>22900</v>
      </c>
      <c r="F20" s="48">
        <f>[3]Febrero!$D$5</f>
        <v>36000</v>
      </c>
      <c r="G20" s="48">
        <f>[3]Febrero!$D$6</f>
        <v>13500</v>
      </c>
      <c r="H20" s="48">
        <v>95327.59</v>
      </c>
      <c r="I20" s="48">
        <f>[3]Febrero!$D$7+ [3]Febrero!$D$9</f>
        <v>449000</v>
      </c>
      <c r="J20" s="43"/>
      <c r="K20" s="41">
        <f>[3]Febrero!$C$58</f>
        <v>79883.809999999969</v>
      </c>
      <c r="L20" s="44">
        <f t="shared" si="2"/>
        <v>2196611.4</v>
      </c>
    </row>
    <row r="21" spans="1:12" x14ac:dyDescent="0.25">
      <c r="A21" s="52" t="s">
        <v>47</v>
      </c>
      <c r="B21" s="48">
        <v>1500000</v>
      </c>
      <c r="C21" s="48"/>
      <c r="D21" s="48"/>
      <c r="E21" s="48">
        <f>[3]Marzo!$D$8+[3]Marzo!$D$10</f>
        <v>19400</v>
      </c>
      <c r="F21" s="48">
        <f>[3]Marzo!$D$5</f>
        <v>39500</v>
      </c>
      <c r="G21" s="48">
        <f>[3]Marzo!$D$6</f>
        <v>13500</v>
      </c>
      <c r="H21" s="48">
        <v>95327.59</v>
      </c>
      <c r="I21" s="48">
        <f>[3]Marzo!$D$7+ [3]Marzo!$D$9</f>
        <v>456000</v>
      </c>
      <c r="J21" s="43"/>
      <c r="K21" s="41">
        <f>[3]Marzo!$C$58</f>
        <v>84314.89</v>
      </c>
      <c r="L21" s="44">
        <f t="shared" si="2"/>
        <v>2208042.48</v>
      </c>
    </row>
    <row r="22" spans="1:12" x14ac:dyDescent="0.25">
      <c r="A22" s="52" t="s">
        <v>48</v>
      </c>
      <c r="B22" s="48"/>
      <c r="C22" s="48"/>
      <c r="D22" s="48"/>
      <c r="E22" s="48">
        <f>[3]Abril!$D$8+[3]Abril!$D$10</f>
        <v>19400</v>
      </c>
      <c r="F22" s="48">
        <f>[3]Abril!$D$5</f>
        <v>39500</v>
      </c>
      <c r="G22" s="48">
        <f>[3]Abril!$D$6</f>
        <v>14800</v>
      </c>
      <c r="H22" s="48">
        <v>95327.59</v>
      </c>
      <c r="I22" s="48">
        <f>[3]Abril!$D$7+ [3]Abril!$D$9</f>
        <v>463000</v>
      </c>
      <c r="J22" s="43"/>
      <c r="K22" s="41">
        <f>[3]Abril!$C$58</f>
        <v>188286.97</v>
      </c>
      <c r="L22" s="44">
        <f t="shared" si="2"/>
        <v>820314.55999999994</v>
      </c>
    </row>
    <row r="23" spans="1:12" x14ac:dyDescent="0.25">
      <c r="A23" s="52" t="s">
        <v>49</v>
      </c>
      <c r="B23" s="48"/>
      <c r="C23" s="48"/>
      <c r="D23" s="48"/>
      <c r="E23" s="48">
        <f>[3]Mayo!$D$8+[3]Mayo!$D$10</f>
        <v>0</v>
      </c>
      <c r="F23" s="48">
        <f>[3]Mayo!$D$5</f>
        <v>0</v>
      </c>
      <c r="G23" s="48">
        <f>[3]Mayo!$D$6</f>
        <v>0</v>
      </c>
      <c r="H23" s="48"/>
      <c r="I23" s="48">
        <f>[3]Mayo!$D$7 + [3]Mayo!$D$9</f>
        <v>0</v>
      </c>
      <c r="J23" s="43"/>
      <c r="K23" s="41">
        <f>[3]Mayo!$C$60</f>
        <v>0</v>
      </c>
      <c r="L23" s="44">
        <f t="shared" si="2"/>
        <v>0</v>
      </c>
    </row>
    <row r="24" spans="1:12" x14ac:dyDescent="0.25">
      <c r="A24" s="52" t="s">
        <v>50</v>
      </c>
      <c r="B24" s="48"/>
      <c r="C24" s="48"/>
      <c r="D24" s="48"/>
      <c r="E24" s="48">
        <f>[3]Junio!$D$8+[3]Junio!$D$10</f>
        <v>0</v>
      </c>
      <c r="F24" s="48">
        <f>[3]Junio!$D$5</f>
        <v>0</v>
      </c>
      <c r="G24" s="48">
        <f>[3]Junio!$D$6</f>
        <v>0</v>
      </c>
      <c r="H24" s="48"/>
      <c r="I24" s="48">
        <f>[3]Junio!$D$7+ [3]Junio!$D$9</f>
        <v>0</v>
      </c>
      <c r="J24" s="43"/>
      <c r="K24" s="41">
        <f>[3]Junio!$C$58</f>
        <v>0</v>
      </c>
      <c r="L24" s="44">
        <f t="shared" si="2"/>
        <v>0</v>
      </c>
    </row>
    <row r="25" spans="1:12" x14ac:dyDescent="0.25">
      <c r="A25" s="52" t="s">
        <v>51</v>
      </c>
      <c r="B25" s="48"/>
      <c r="C25" s="48"/>
      <c r="D25" s="48"/>
      <c r="E25" s="48">
        <f>[3]Julio!$D$8+[3]Julio!$D$10</f>
        <v>0</v>
      </c>
      <c r="F25" s="48">
        <f>[3]Julio!$D$5</f>
        <v>0</v>
      </c>
      <c r="G25" s="48">
        <f>[3]Julio!$D$6</f>
        <v>0</v>
      </c>
      <c r="H25" s="48"/>
      <c r="I25" s="48">
        <f>[3]Julio!$D$7+ [3]Julio!$D$9</f>
        <v>0</v>
      </c>
      <c r="J25" s="43"/>
      <c r="K25" s="41">
        <f>[3]Julio!$C$58</f>
        <v>0</v>
      </c>
      <c r="L25" s="44">
        <f t="shared" si="2"/>
        <v>0</v>
      </c>
    </row>
    <row r="26" spans="1:12" x14ac:dyDescent="0.25">
      <c r="A26" s="52" t="s">
        <v>52</v>
      </c>
      <c r="B26" s="48"/>
      <c r="C26" s="48"/>
      <c r="D26" s="48"/>
      <c r="E26" s="48">
        <f>[3]Agosto!$D$8+[3]Agosto!$D$10</f>
        <v>0</v>
      </c>
      <c r="F26" s="48">
        <f>[3]Agosto!$D$5</f>
        <v>0</v>
      </c>
      <c r="G26" s="48">
        <f>[3]Agosto!$D$6</f>
        <v>0</v>
      </c>
      <c r="H26" s="48"/>
      <c r="I26" s="48">
        <f>[3]Agosto!$D$7+ [3]Agosto!$D$9</f>
        <v>0</v>
      </c>
      <c r="J26" s="43"/>
      <c r="K26" s="41">
        <f>[3]Agosto!$C$58</f>
        <v>0</v>
      </c>
      <c r="L26" s="44">
        <f t="shared" si="2"/>
        <v>0</v>
      </c>
    </row>
    <row r="27" spans="1:12" x14ac:dyDescent="0.25">
      <c r="A27" s="52" t="s">
        <v>53</v>
      </c>
      <c r="B27" s="48"/>
      <c r="C27" s="48"/>
      <c r="D27" s="48"/>
      <c r="E27" s="48">
        <f>[3]Septiembre!$D$8+[3]Septiembre!$D$10</f>
        <v>0</v>
      </c>
      <c r="F27" s="48">
        <f>[3]Septiembre!$D$5</f>
        <v>0</v>
      </c>
      <c r="G27" s="48">
        <f>[3]Septiembre!$D$6</f>
        <v>0</v>
      </c>
      <c r="H27" s="48"/>
      <c r="I27" s="48">
        <f>[3]Septiembre!$D$7 + [3]Septiembre!$D$9</f>
        <v>0</v>
      </c>
      <c r="J27" s="43"/>
      <c r="K27" s="41">
        <f>[3]Septiembre!$C$58</f>
        <v>0</v>
      </c>
      <c r="L27" s="44">
        <f t="shared" si="2"/>
        <v>0</v>
      </c>
    </row>
    <row r="28" spans="1:12" x14ac:dyDescent="0.25">
      <c r="A28" s="52" t="s">
        <v>54</v>
      </c>
      <c r="B28" s="48"/>
      <c r="C28" s="48"/>
      <c r="D28" s="48"/>
      <c r="E28" s="48">
        <f>[3]Octubre!$D$8+[3]Octubre!$D$10</f>
        <v>0</v>
      </c>
      <c r="F28" s="48">
        <f>[3]Octubre!$D$5</f>
        <v>0</v>
      </c>
      <c r="G28" s="48">
        <f>[3]Octubre!$D$6</f>
        <v>0</v>
      </c>
      <c r="H28" s="48"/>
      <c r="I28" s="48">
        <f>[3]Octubre!$D$7 + [3]Octubre!$D$9</f>
        <v>0</v>
      </c>
      <c r="J28" s="43"/>
      <c r="K28" s="41">
        <f>[3]Octubre!$C$58</f>
        <v>0</v>
      </c>
      <c r="L28" s="44">
        <f t="shared" si="2"/>
        <v>0</v>
      </c>
    </row>
    <row r="29" spans="1:12" x14ac:dyDescent="0.25">
      <c r="A29" s="52" t="s">
        <v>55</v>
      </c>
      <c r="B29" s="48"/>
      <c r="C29" s="48"/>
      <c r="D29" s="48"/>
      <c r="E29" s="48">
        <f>[3]Noviembre!$D$8+[3]Noviembre!$D$10</f>
        <v>0</v>
      </c>
      <c r="F29" s="48">
        <f>[3]Noviembre!$D$5</f>
        <v>0</v>
      </c>
      <c r="G29" s="48">
        <f>[3]Noviembre!$D$6</f>
        <v>0</v>
      </c>
      <c r="H29" s="48"/>
      <c r="I29" s="48">
        <f>[3]Noviembre!$D$7 + [3]Noviembre!$D$9</f>
        <v>0</v>
      </c>
      <c r="J29" s="43"/>
      <c r="K29" s="41">
        <f>[3]Noviembre!$C$58</f>
        <v>0</v>
      </c>
      <c r="L29" s="44">
        <f t="shared" si="2"/>
        <v>0</v>
      </c>
    </row>
    <row r="30" spans="1:12" ht="15.75" thickBot="1" x14ac:dyDescent="0.3">
      <c r="A30" s="53" t="s">
        <v>56</v>
      </c>
      <c r="B30" s="49"/>
      <c r="C30" s="49"/>
      <c r="D30" s="49"/>
      <c r="E30" s="48">
        <f>[3]Diciembre!$D$8+[3]Diciembre!$D$10</f>
        <v>0</v>
      </c>
      <c r="F30" s="49">
        <f>[3]Diciembre!$D$5</f>
        <v>0</v>
      </c>
      <c r="G30" s="48">
        <f>[3]Diciembre!$D$6</f>
        <v>0</v>
      </c>
      <c r="H30" s="48"/>
      <c r="I30" s="48">
        <f>[3]Diciembre!$D$7  + [3]Diciembre!$D$9</f>
        <v>0</v>
      </c>
      <c r="J30" s="45"/>
      <c r="K30" s="42">
        <f>[3]Diciembre!$C$58</f>
        <v>0</v>
      </c>
      <c r="L30" s="46">
        <f t="shared" si="2"/>
        <v>0</v>
      </c>
    </row>
    <row r="31" spans="1:12" ht="15.75" thickBot="1" x14ac:dyDescent="0.3">
      <c r="A31" s="54" t="s">
        <v>57</v>
      </c>
      <c r="B31" s="55">
        <f t="shared" ref="B31:L31" si="3">SUM(B19:B30)</f>
        <v>4500000</v>
      </c>
      <c r="C31" s="55">
        <f t="shared" si="3"/>
        <v>0</v>
      </c>
      <c r="D31" s="55">
        <f t="shared" si="3"/>
        <v>0</v>
      </c>
      <c r="E31" s="55">
        <f t="shared" si="3"/>
        <v>84600</v>
      </c>
      <c r="F31" s="55">
        <f t="shared" si="3"/>
        <v>151000</v>
      </c>
      <c r="G31" s="55">
        <f t="shared" si="3"/>
        <v>55300</v>
      </c>
      <c r="H31" s="55">
        <f t="shared" si="3"/>
        <v>342747.35</v>
      </c>
      <c r="I31" s="55">
        <f t="shared" si="3"/>
        <v>1370600</v>
      </c>
      <c r="J31" s="56">
        <f t="shared" si="3"/>
        <v>0</v>
      </c>
      <c r="K31" s="57">
        <f t="shared" si="3"/>
        <v>678084.87</v>
      </c>
      <c r="L31" s="57">
        <f t="shared" si="3"/>
        <v>7182332.2199999997</v>
      </c>
    </row>
  </sheetData>
  <conditionalFormatting sqref="B2:K13">
    <cfRule type="cellIs" dxfId="28" priority="4" stopIfTrue="1" operator="lessThanOrEqual">
      <formula>0</formula>
    </cfRule>
  </conditionalFormatting>
  <conditionalFormatting sqref="B19:K30">
    <cfRule type="cellIs" dxfId="27" priority="1" stopIfTrue="1" operator="lessThanOrEqual">
      <formula>0</formula>
    </cfRule>
  </conditionalFormatting>
  <conditionalFormatting sqref="J4:J6">
    <cfRule type="cellIs" dxfId="26" priority="6" stopIfTrue="1" operator="lessThanOrEqual">
      <formula>0</formula>
    </cfRule>
  </conditionalFormatting>
  <conditionalFormatting sqref="J8:J10">
    <cfRule type="cellIs" dxfId="25" priority="5" stopIfTrue="1" operator="lessThanOrEqual">
      <formula>0</formula>
    </cfRule>
  </conditionalFormatting>
  <conditionalFormatting sqref="J21:J23">
    <cfRule type="cellIs" dxfId="24" priority="3" stopIfTrue="1" operator="lessThanOrEqual">
      <formula>0</formula>
    </cfRule>
  </conditionalFormatting>
  <conditionalFormatting sqref="J25:J27">
    <cfRule type="cellIs" dxfId="23" priority="2" stopIfTrue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tabSelected="1" zoomScale="85" zoomScaleNormal="85" workbookViewId="0">
      <selection activeCell="F1" sqref="F1:F1048576"/>
    </sheetView>
  </sheetViews>
  <sheetFormatPr baseColWidth="10" defaultColWidth="11.42578125" defaultRowHeight="15.75" x14ac:dyDescent="0.25"/>
  <cols>
    <col min="1" max="1" width="11.42578125" style="13"/>
    <col min="2" max="2" width="12.85546875" style="14" bestFit="1" customWidth="1"/>
    <col min="3" max="3" width="12.85546875" bestFit="1" customWidth="1"/>
    <col min="4" max="4" width="10" style="2" bestFit="1" customWidth="1"/>
    <col min="5" max="6" width="5.85546875" style="2" bestFit="1" customWidth="1"/>
    <col min="7" max="7" width="11.7109375" bestFit="1" customWidth="1"/>
    <col min="9" max="9" width="8.5703125" style="2" bestFit="1" customWidth="1"/>
    <col min="10" max="10" width="11.85546875" bestFit="1" customWidth="1"/>
    <col min="11" max="11" width="12.85546875" style="4" customWidth="1"/>
    <col min="12" max="12" width="11.85546875" bestFit="1" customWidth="1"/>
    <col min="13" max="13" width="10.42578125" style="9" bestFit="1" customWidth="1"/>
    <col min="15" max="15" width="35.7109375" bestFit="1" customWidth="1"/>
    <col min="16" max="16" width="14.5703125" bestFit="1" customWidth="1"/>
  </cols>
  <sheetData>
    <row r="1" spans="1:16" ht="39" thickBot="1" x14ac:dyDescent="0.3">
      <c r="A1" s="7">
        <v>2024</v>
      </c>
      <c r="B1" s="31" t="s">
        <v>59</v>
      </c>
      <c r="C1" s="31" t="s">
        <v>60</v>
      </c>
      <c r="D1" s="31" t="s">
        <v>61</v>
      </c>
      <c r="E1" s="31" t="s">
        <v>1003</v>
      </c>
      <c r="F1" s="31" t="s">
        <v>1004</v>
      </c>
      <c r="G1" s="31" t="s">
        <v>62</v>
      </c>
      <c r="H1" s="31" t="s">
        <v>63</v>
      </c>
      <c r="I1" s="31" t="s">
        <v>64</v>
      </c>
      <c r="J1" s="32" t="s">
        <v>65</v>
      </c>
      <c r="K1" s="31" t="s">
        <v>68</v>
      </c>
      <c r="L1" s="31" t="s">
        <v>69</v>
      </c>
      <c r="M1" s="31" t="s">
        <v>70</v>
      </c>
      <c r="O1" s="15" t="s">
        <v>145</v>
      </c>
      <c r="P1" s="16">
        <v>-104012</v>
      </c>
    </row>
    <row r="2" spans="1:16" ht="15" x14ac:dyDescent="0.25">
      <c r="A2" s="8" t="s">
        <v>45</v>
      </c>
      <c r="B2" s="27">
        <f>SUMIFS(Ordenes!R$2:R$1275,Ordenes!AF$2:AF$1275,MONTH(A2 &amp;1),Ordenes!AE$2:AE$1275,A$1)</f>
        <v>874050</v>
      </c>
      <c r="C2" s="28">
        <f>+B2-'Costos Fijos'!L2</f>
        <v>-590532.73</v>
      </c>
      <c r="D2" s="62">
        <f t="shared" ref="D2:D14" si="0">IFERROR(1-(C2/B2),"")</f>
        <v>1.675628087638007</v>
      </c>
      <c r="E2" s="66">
        <f>COUNTIFS(Ordenes!V:V,MONTH(A2 &amp;1),Ordenes!AC:AC,A$1)</f>
        <v>16</v>
      </c>
      <c r="F2" s="66">
        <f>COUNTIFS(Ordenes!W:W,MONTH(A2 &amp;1),Ordenes!AD:AD,A$1)</f>
        <v>18</v>
      </c>
      <c r="G2" s="29">
        <f t="shared" ref="G2:G14" si="1">B2-C2</f>
        <v>1464582.73</v>
      </c>
      <c r="H2" s="29">
        <f t="shared" ref="H2:H14" si="2">+C2</f>
        <v>-590532.73</v>
      </c>
      <c r="I2" s="62">
        <f t="shared" ref="I2:I14" si="3">IFERROR(+H2/B2,"")</f>
        <v>-0.67562808763800697</v>
      </c>
      <c r="J2" s="33">
        <f>-SUMIFS(Ordenes!X$2:X$1275,Ordenes!AF$2:AF$1275,MONTH(A2 &amp;1),Ordenes!AE$2:AE$1275,A$1)</f>
        <v>0</v>
      </c>
      <c r="K2" s="27"/>
      <c r="L2" s="27">
        <f>891130+83253.6</f>
        <v>974383.6</v>
      </c>
      <c r="M2" s="27"/>
    </row>
    <row r="3" spans="1:16" ht="15" x14ac:dyDescent="0.25">
      <c r="A3" s="10" t="s">
        <v>46</v>
      </c>
      <c r="B3" s="27">
        <f>SUMIFS(Ordenes!R$2:R$1275,Ordenes!AF$2:AF$1275,MONTH(A3 &amp;1),Ordenes!AE$2:AE$1275,A$1)</f>
        <v>3505517</v>
      </c>
      <c r="C3" s="28">
        <f>+B3-'Costos Fijos'!L3</f>
        <v>1522149.3199999998</v>
      </c>
      <c r="D3" s="63">
        <f t="shared" si="0"/>
        <v>0.5657846417518444</v>
      </c>
      <c r="E3" s="66">
        <f>COUNTIFS(Ordenes!V:V,MONTH(A3 &amp;1),Ordenes!AC:AC,A$1)</f>
        <v>15</v>
      </c>
      <c r="F3" s="66">
        <f>COUNTIFS(Ordenes!W:W,MONTH(A3 &amp;1),Ordenes!AD:AD,A$1)</f>
        <v>15</v>
      </c>
      <c r="G3" s="30">
        <f t="shared" si="1"/>
        <v>1983367.6800000002</v>
      </c>
      <c r="H3" s="30">
        <f t="shared" si="2"/>
        <v>1522149.3199999998</v>
      </c>
      <c r="I3" s="63">
        <f t="shared" si="3"/>
        <v>0.43421535824815566</v>
      </c>
      <c r="J3" s="33">
        <f>-SUMIFS(Ordenes!X$2:X$1275,Ordenes!AF$2:AF$1275,MONTH(A3 &amp;1),Ordenes!AE$2:AE$1275,A$1)</f>
        <v>0</v>
      </c>
      <c r="K3" s="27">
        <f>800000+1000000+310500</f>
        <v>2110500</v>
      </c>
      <c r="L3" s="27">
        <f>680594.32+61533.19+459512+41544.96</f>
        <v>1243184.47</v>
      </c>
      <c r="M3" s="27">
        <v>300</v>
      </c>
    </row>
    <row r="4" spans="1:16" ht="15" x14ac:dyDescent="0.25">
      <c r="A4" s="10" t="s">
        <v>47</v>
      </c>
      <c r="B4" s="27">
        <f>SUMIFS(Ordenes!R$2:R$1275,Ordenes!AF$2:AF$1275,MONTH(A4 &amp;1),Ordenes!AE$2:AE$1275,A$1)</f>
        <v>1307235</v>
      </c>
      <c r="C4" s="28">
        <f>+B4-'Costos Fijos'!L4</f>
        <v>-621918.80000000005</v>
      </c>
      <c r="D4" s="63">
        <f t="shared" si="0"/>
        <v>1.47575133774723</v>
      </c>
      <c r="E4" s="66">
        <f>COUNTIFS(Ordenes!V:V,MONTH(A4 &amp;1),Ordenes!AC:AC,A$1)</f>
        <v>15</v>
      </c>
      <c r="F4" s="66">
        <f>COUNTIFS(Ordenes!W:W,MONTH(A4 &amp;1),Ordenes!AD:AD,A$1)</f>
        <v>15</v>
      </c>
      <c r="G4" s="30">
        <f t="shared" si="1"/>
        <v>1929153.8</v>
      </c>
      <c r="H4" s="30">
        <f t="shared" si="2"/>
        <v>-621918.80000000005</v>
      </c>
      <c r="I4" s="63">
        <f t="shared" si="3"/>
        <v>-0.47575133774722989</v>
      </c>
      <c r="J4" s="33">
        <f>-SUMIFS(Ordenes!X$2:X$1275,Ordenes!AF$2:AF$1275,MONTH(A4 &amp;1),Ordenes!AE$2:AE$1275,A$1)</f>
        <v>0</v>
      </c>
      <c r="K4" s="27"/>
      <c r="L4" s="27">
        <f>847344.52+153218.46+988365.6+178718.16</f>
        <v>2167646.7400000002</v>
      </c>
      <c r="M4" s="27"/>
    </row>
    <row r="5" spans="1:16" ht="15" x14ac:dyDescent="0.25">
      <c r="A5" s="10" t="s">
        <v>48</v>
      </c>
      <c r="B5" s="27">
        <f>SUMIFS(Ordenes!R$2:R$1275,Ordenes!AF$2:AF$1275,MONTH(A5 &amp;1),Ordenes!AE$2:AE$1275,A$1)</f>
        <v>1606700</v>
      </c>
      <c r="C5" s="28">
        <f>+B5-'Costos Fijos'!L5</f>
        <v>-336422.34000000008</v>
      </c>
      <c r="D5" s="63">
        <f t="shared" si="0"/>
        <v>1.2093871537934899</v>
      </c>
      <c r="E5" s="66">
        <f>COUNTIFS(Ordenes!V:V,MONTH(A5 &amp;1),Ordenes!AC:AC,A$1)</f>
        <v>12</v>
      </c>
      <c r="F5" s="66">
        <f>COUNTIFS(Ordenes!W:W,MONTH(A5 &amp;1),Ordenes!AD:AD,A$1)</f>
        <v>12</v>
      </c>
      <c r="G5" s="30">
        <f t="shared" si="1"/>
        <v>1943122.34</v>
      </c>
      <c r="H5" s="30">
        <f t="shared" si="2"/>
        <v>-336422.34000000008</v>
      </c>
      <c r="I5" s="63">
        <f t="shared" si="3"/>
        <v>-0.20938715379348982</v>
      </c>
      <c r="J5" s="33">
        <f>-SUMIFS(Ordenes!X$2:X$1275,Ordenes!AF$2:AF$1275,MONTH(A5 &amp;1),Ordenes!AE$2:AE$1275,A$1)</f>
        <v>0</v>
      </c>
      <c r="K5" s="27">
        <f>1500000+1000000+1008557.89</f>
        <v>3508557.89</v>
      </c>
      <c r="L5" s="27">
        <f>405193.19 +112343.97+190.61+1500000+86301</f>
        <v>2104028.77</v>
      </c>
      <c r="M5" s="27"/>
    </row>
    <row r="6" spans="1:16" ht="15" x14ac:dyDescent="0.25">
      <c r="A6" s="10" t="s">
        <v>49</v>
      </c>
      <c r="B6" s="27">
        <f>SUMIFS(Ordenes!R$2:R$1275,Ordenes!AF$2:AF$1275,MONTH(A6 &amp;1),Ordenes!AE$2:AE$1275,A$1)</f>
        <v>3641029</v>
      </c>
      <c r="C6" s="28">
        <f>+B6-'Costos Fijos'!L6</f>
        <v>1386775.92</v>
      </c>
      <c r="D6" s="63">
        <f t="shared" si="0"/>
        <v>0.61912527475062684</v>
      </c>
      <c r="E6" s="66">
        <f>COUNTIFS(Ordenes!V:V,MONTH(A6 &amp;1),Ordenes!AC:AC,A$1)</f>
        <v>23</v>
      </c>
      <c r="F6" s="66">
        <f>COUNTIFS(Ordenes!W:W,MONTH(A6 &amp;1),Ordenes!AD:AD,A$1)</f>
        <v>24</v>
      </c>
      <c r="G6" s="30">
        <f t="shared" si="1"/>
        <v>2254253.08</v>
      </c>
      <c r="H6" s="30">
        <f t="shared" si="2"/>
        <v>1386775.92</v>
      </c>
      <c r="I6" s="63">
        <f t="shared" si="3"/>
        <v>0.38087472524937316</v>
      </c>
      <c r="J6" s="33">
        <f>-SUMIFS(Ordenes!X$2:X$1275,Ordenes!AF$2:AF$1275,MONTH(A6 &amp;1),Ordenes!AE$2:AE$1275,A$1)</f>
        <v>0</v>
      </c>
      <c r="K6" s="27">
        <v>520000</v>
      </c>
      <c r="L6" s="27"/>
      <c r="M6" s="27">
        <v>500</v>
      </c>
    </row>
    <row r="7" spans="1:16" ht="15" x14ac:dyDescent="0.25">
      <c r="A7" s="10" t="s">
        <v>50</v>
      </c>
      <c r="B7" s="27">
        <f>SUMIFS(Ordenes!R$2:R$1275,Ordenes!AF$2:AF$1275,MONTH(A7 &amp;1),Ordenes!AE$2:AE$1275,A$1)</f>
        <v>3587405</v>
      </c>
      <c r="C7" s="28">
        <f>+B7-'Costos Fijos'!L7</f>
        <v>1152094.1599999997</v>
      </c>
      <c r="D7" s="63">
        <f t="shared" si="0"/>
        <v>0.6788502664182049</v>
      </c>
      <c r="E7" s="66">
        <f>COUNTIFS(Ordenes!V:V,MONTH(A7 &amp;1),Ordenes!AC:AC,A$1)</f>
        <v>19</v>
      </c>
      <c r="F7" s="66">
        <f>COUNTIFS(Ordenes!W:W,MONTH(A7 &amp;1),Ordenes!AD:AD,A$1)</f>
        <v>21</v>
      </c>
      <c r="G7" s="30">
        <f t="shared" si="1"/>
        <v>2435310.8400000003</v>
      </c>
      <c r="H7" s="30">
        <f t="shared" si="2"/>
        <v>1152094.1599999997</v>
      </c>
      <c r="I7" s="63">
        <f t="shared" si="3"/>
        <v>0.3211497335817951</v>
      </c>
      <c r="J7" s="33">
        <f>-SUMIFS(Ordenes!X$2:X$1275,Ordenes!AF$2:AF$1275,MONTH(A7 &amp;1),Ordenes!AE$2:AE$1275,A$1)</f>
        <v>15000</v>
      </c>
      <c r="K7" s="27">
        <v>1512789.65</v>
      </c>
      <c r="L7" s="27"/>
      <c r="M7" s="60"/>
    </row>
    <row r="8" spans="1:16" ht="15" x14ac:dyDescent="0.25">
      <c r="A8" s="10" t="s">
        <v>51</v>
      </c>
      <c r="B8" s="27">
        <f>SUMIFS(Ordenes!R$2:R$1275,Ordenes!AF$2:AF$1275,MONTH(A8 &amp;1),Ordenes!AE$2:AE$1275,A$1)</f>
        <v>3048355</v>
      </c>
      <c r="C8" s="28">
        <f>+B8-'Costos Fijos'!L8</f>
        <v>581257.41999999946</v>
      </c>
      <c r="D8" s="63">
        <f t="shared" si="0"/>
        <v>0.80932095507249013</v>
      </c>
      <c r="E8" s="66">
        <f>COUNTIFS(Ordenes!V:V,MONTH(A8 &amp;1),Ordenes!AC:AC,A$1)</f>
        <v>16</v>
      </c>
      <c r="F8" s="66">
        <f>COUNTIFS(Ordenes!W:W,MONTH(A8 &amp;1),Ordenes!AD:AD,A$1)</f>
        <v>20</v>
      </c>
      <c r="G8" s="30">
        <f t="shared" si="1"/>
        <v>2467097.5800000005</v>
      </c>
      <c r="H8" s="30">
        <f t="shared" si="2"/>
        <v>581257.41999999946</v>
      </c>
      <c r="I8" s="63">
        <f t="shared" si="3"/>
        <v>0.19067904492750989</v>
      </c>
      <c r="J8" s="33">
        <f>-SUMIFS(Ordenes!X$2:X$1275,Ordenes!AF$2:AF$1275,MONTH(A8 &amp;1),Ordenes!AE$2:AE$1275,A$1)</f>
        <v>0</v>
      </c>
      <c r="K8" s="27"/>
      <c r="L8" s="27"/>
      <c r="M8" s="27"/>
    </row>
    <row r="9" spans="1:16" ht="15" x14ac:dyDescent="0.25">
      <c r="A9" s="10" t="s">
        <v>52</v>
      </c>
      <c r="B9" s="27">
        <f>SUMIFS(Ordenes!R$2:R$1275,Ordenes!AF$2:AF$1275,MONTH(A9 &amp;1),Ordenes!AE$2:AE$1275,A$1)</f>
        <v>4608450</v>
      </c>
      <c r="C9" s="28">
        <f>+B9-'Costos Fijos'!L9</f>
        <v>1110242.42</v>
      </c>
      <c r="D9" s="63">
        <f t="shared" si="0"/>
        <v>0.75908550163287003</v>
      </c>
      <c r="E9" s="66">
        <f>COUNTIFS(Ordenes!V:V,MONTH(A9 &amp;1),Ordenes!AC:AC,A$1)</f>
        <v>14</v>
      </c>
      <c r="F9" s="66">
        <f>COUNTIFS(Ordenes!W:W,MONTH(A9 &amp;1),Ordenes!AD:AD,A$1)</f>
        <v>9</v>
      </c>
      <c r="G9" s="30">
        <f t="shared" si="1"/>
        <v>3498207.58</v>
      </c>
      <c r="H9" s="30">
        <f t="shared" si="2"/>
        <v>1110242.42</v>
      </c>
      <c r="I9" s="63">
        <f t="shared" si="3"/>
        <v>0.24091449836712994</v>
      </c>
      <c r="J9" s="33">
        <f>-SUMIFS(Ordenes!X$2:X$1275,Ordenes!AF$2:AF$1275,MONTH(A9 &amp;1),Ordenes!AE$2:AE$1275,A$1)</f>
        <v>0</v>
      </c>
      <c r="K9" s="27">
        <f>1614344.15+408000</f>
        <v>2022344.15</v>
      </c>
      <c r="L9" s="27"/>
      <c r="M9" s="27">
        <v>300</v>
      </c>
    </row>
    <row r="10" spans="1:16" ht="15" x14ac:dyDescent="0.25">
      <c r="A10" s="10" t="s">
        <v>53</v>
      </c>
      <c r="B10" s="27">
        <f>SUMIFS(Ordenes!R$2:R$1275,Ordenes!AF$2:AF$1275,MONTH(A10 &amp;1),Ordenes!AE$2:AE$1275,A$1)+20000</f>
        <v>4334881</v>
      </c>
      <c r="C10" s="28">
        <f>+B10-'Costos Fijos'!L10</f>
        <v>1067657.4699999997</v>
      </c>
      <c r="D10" s="63">
        <f t="shared" si="0"/>
        <v>0.75370547196105275</v>
      </c>
      <c r="E10" s="66">
        <f>COUNTIFS(Ordenes!V:V,MONTH(A10 &amp;1),Ordenes!AC:AC,A$1)</f>
        <v>23</v>
      </c>
      <c r="F10" s="66">
        <f>COUNTIFS(Ordenes!W:W,MONTH(A10 &amp;1),Ordenes!AD:AD,A$1)</f>
        <v>25</v>
      </c>
      <c r="G10" s="30">
        <f t="shared" si="1"/>
        <v>3267223.5300000003</v>
      </c>
      <c r="H10" s="30">
        <f t="shared" si="2"/>
        <v>1067657.4699999997</v>
      </c>
      <c r="I10" s="63">
        <f t="shared" si="3"/>
        <v>0.24629452803894725</v>
      </c>
      <c r="J10" s="33">
        <f>-SUMIFS(Ordenes!X$2:X$1275,Ordenes!AF$2:AF$1275,MONTH(A10 &amp;1),Ordenes!AE$2:AE$1275,A$1)</f>
        <v>0</v>
      </c>
      <c r="K10" s="27"/>
      <c r="L10" s="27"/>
      <c r="M10" s="27"/>
    </row>
    <row r="11" spans="1:16" ht="15" x14ac:dyDescent="0.25">
      <c r="A11" s="10" t="s">
        <v>54</v>
      </c>
      <c r="B11" s="27">
        <f>SUMIFS(Ordenes!R$2:R$1275,Ordenes!AF$2:AF$1275,MONTH(A11 &amp;1),Ordenes!AE$2:AE$1275,A$1)</f>
        <v>2852200</v>
      </c>
      <c r="C11" s="28">
        <f>+B11-'Costos Fijos'!L11</f>
        <v>-377856.66000000015</v>
      </c>
      <c r="D11" s="63">
        <f t="shared" si="0"/>
        <v>1.1324790197040882</v>
      </c>
      <c r="E11" s="66">
        <f>COUNTIFS(Ordenes!V:V,MONTH(A11 &amp;1),Ordenes!AC:AC,A$1)</f>
        <v>16</v>
      </c>
      <c r="F11" s="66">
        <f>COUNTIFS(Ordenes!W:W,MONTH(A11 &amp;1),Ordenes!AD:AD,A$1)</f>
        <v>14</v>
      </c>
      <c r="G11" s="30">
        <f t="shared" si="1"/>
        <v>3230056.66</v>
      </c>
      <c r="H11" s="30">
        <f t="shared" si="2"/>
        <v>-377856.66000000015</v>
      </c>
      <c r="I11" s="63">
        <f t="shared" si="3"/>
        <v>-0.13247901970408812</v>
      </c>
      <c r="J11" s="33">
        <f>-SUMIFS(Ordenes!X$2:X$1275,Ordenes!AF$2:AF$1275,MONTH(A11 &amp;1),Ordenes!AE$2:AE$1275,A$1)</f>
        <v>0</v>
      </c>
      <c r="K11" s="27">
        <f>367500+610000+1714771.39</f>
        <v>2692271.3899999997</v>
      </c>
      <c r="L11" s="27"/>
      <c r="M11" s="27">
        <f>300+500</f>
        <v>800</v>
      </c>
      <c r="O11" s="17"/>
      <c r="P11" s="18">
        <f>P1+H14-J14</f>
        <v>4793863.0299999993</v>
      </c>
    </row>
    <row r="12" spans="1:16" ht="15" x14ac:dyDescent="0.25">
      <c r="A12" s="10" t="s">
        <v>55</v>
      </c>
      <c r="B12" s="27">
        <f>SUMIFS(Ordenes!R$2:R$1275,Ordenes!AF$2:AF$1275,MONTH(A12 &amp;1),Ordenes!AE$2:AE$1275,A$1)</f>
        <v>3754660</v>
      </c>
      <c r="C12" s="28">
        <f>+B12-'Costos Fijos'!L12</f>
        <v>550843.16000000015</v>
      </c>
      <c r="D12" s="63">
        <f t="shared" si="0"/>
        <v>0.8532908012975875</v>
      </c>
      <c r="E12" s="66">
        <f>COUNTIFS(Ordenes!V:V,MONTH(A12 &amp;1),Ordenes!AC:AC,A$1)</f>
        <v>20</v>
      </c>
      <c r="F12" s="66">
        <f>COUNTIFS(Ordenes!W:W,MONTH(A12 &amp;1),Ordenes!AD:AD,A$1)</f>
        <v>22</v>
      </c>
      <c r="G12" s="30">
        <f t="shared" si="1"/>
        <v>3203816.84</v>
      </c>
      <c r="H12" s="30">
        <f t="shared" si="2"/>
        <v>550843.16000000015</v>
      </c>
      <c r="I12" s="63">
        <f t="shared" si="3"/>
        <v>0.1467091987024125</v>
      </c>
      <c r="J12" s="33">
        <f>-SUMIFS(Ordenes!X$2:X$1275,Ordenes!AF$2:AF$1275,MONTH(A12 &amp;1),Ordenes!AE$2:AE$1275,A$1)</f>
        <v>0</v>
      </c>
      <c r="K12" s="27"/>
      <c r="L12" s="27"/>
      <c r="M12" s="27">
        <v>1450.03</v>
      </c>
      <c r="O12" s="17" t="s">
        <v>124</v>
      </c>
      <c r="P12" s="18"/>
    </row>
    <row r="13" spans="1:16" ht="16.5" thickBot="1" x14ac:dyDescent="0.3">
      <c r="A13" s="11" t="s">
        <v>56</v>
      </c>
      <c r="B13" s="27">
        <f>SUMIFS(Ordenes!R$2:R$1275,Ordenes!AF$2:AF$1275,MONTH(A13 &amp;1),Ordenes!AE$2:AE$1275,A$1)</f>
        <v>2169100</v>
      </c>
      <c r="C13" s="28">
        <f>+B13-'Costos Fijos'!L13</f>
        <v>-531414.31000000006</v>
      </c>
      <c r="D13" s="64">
        <f t="shared" si="0"/>
        <v>1.2449929970955695</v>
      </c>
      <c r="E13" s="66">
        <f>COUNTIFS(Ordenes!V:V,MONTH(A13 &amp;1),Ordenes!AC:AC,A$1)</f>
        <v>12</v>
      </c>
      <c r="F13" s="66">
        <f>COUNTIFS(Ordenes!W:W,MONTH(A13 &amp;1),Ordenes!AD:AD,A$1)</f>
        <v>12</v>
      </c>
      <c r="G13" s="34">
        <f t="shared" si="1"/>
        <v>2700514.31</v>
      </c>
      <c r="H13" s="34">
        <f t="shared" si="2"/>
        <v>-531414.31000000006</v>
      </c>
      <c r="I13" s="64">
        <f t="shared" si="3"/>
        <v>-0.24499299709556963</v>
      </c>
      <c r="J13" s="33">
        <f>-SUMIFS(Ordenes!X$2:X$1275,Ordenes!AF$2:AF$1275,MONTH(A13 &amp;1),Ordenes!AE$2:AE$1275,A$1)</f>
        <v>0</v>
      </c>
      <c r="K13" s="27">
        <v>602500</v>
      </c>
      <c r="L13" s="27"/>
      <c r="M13" s="27">
        <v>500</v>
      </c>
      <c r="O13" s="15" t="s">
        <v>66</v>
      </c>
      <c r="P13" s="16">
        <f>P11+P12+L14-K14</f>
        <v>-1685856.4700000025</v>
      </c>
    </row>
    <row r="14" spans="1:16" ht="16.5" thickBot="1" x14ac:dyDescent="0.3">
      <c r="A14" s="12" t="s">
        <v>57</v>
      </c>
      <c r="B14" s="35">
        <f>SUM(B2:B13)</f>
        <v>35289582</v>
      </c>
      <c r="C14" s="36">
        <f>SUM(C2:C13)</f>
        <v>4912875.0299999993</v>
      </c>
      <c r="D14" s="65">
        <f t="shared" si="0"/>
        <v>0.86078398349971952</v>
      </c>
      <c r="E14" s="67">
        <f>SUM(E2:E13)</f>
        <v>201</v>
      </c>
      <c r="F14" s="67">
        <f>SUM(F2:F13)</f>
        <v>207</v>
      </c>
      <c r="G14" s="37">
        <f t="shared" si="1"/>
        <v>30376706.969999999</v>
      </c>
      <c r="H14" s="37">
        <f t="shared" si="2"/>
        <v>4912875.0299999993</v>
      </c>
      <c r="I14" s="65">
        <f t="shared" si="3"/>
        <v>0.13921601650028043</v>
      </c>
      <c r="J14" s="38">
        <f>SUM(J2:J13)</f>
        <v>15000</v>
      </c>
      <c r="K14" s="39">
        <f>SUM(K2:K13)</f>
        <v>12968963.080000002</v>
      </c>
      <c r="L14" s="39">
        <f>SUM(L2:L13)</f>
        <v>6489243.5800000001</v>
      </c>
      <c r="M14" s="39">
        <f>SUM(M2:M13)+2239</f>
        <v>6089.03</v>
      </c>
      <c r="O14" s="15" t="s">
        <v>67</v>
      </c>
      <c r="P14" s="16">
        <f>P13-'[4]2024'!$P$500</f>
        <v>0.48999999649822712</v>
      </c>
    </row>
    <row r="16" spans="1:16" ht="16.5" thickBot="1" x14ac:dyDescent="0.3"/>
    <row r="17" spans="1:16" ht="39" thickBot="1" x14ac:dyDescent="0.3">
      <c r="A17" s="7">
        <v>2025</v>
      </c>
      <c r="B17" s="31" t="s">
        <v>59</v>
      </c>
      <c r="C17" s="31" t="s">
        <v>60</v>
      </c>
      <c r="D17" s="31" t="s">
        <v>61</v>
      </c>
      <c r="E17" s="31" t="s">
        <v>1003</v>
      </c>
      <c r="F17" s="31" t="s">
        <v>1004</v>
      </c>
      <c r="G17" s="31" t="s">
        <v>62</v>
      </c>
      <c r="H17" s="31" t="s">
        <v>63</v>
      </c>
      <c r="I17" s="31" t="s">
        <v>64</v>
      </c>
      <c r="J17" s="32" t="s">
        <v>65</v>
      </c>
      <c r="K17" s="31" t="s">
        <v>68</v>
      </c>
      <c r="L17" s="31" t="s">
        <v>69</v>
      </c>
      <c r="M17" s="31" t="s">
        <v>70</v>
      </c>
    </row>
    <row r="18" spans="1:16" ht="15" x14ac:dyDescent="0.25">
      <c r="A18" s="8" t="s">
        <v>45</v>
      </c>
      <c r="B18" s="27">
        <f>SUMIFS(Ordenes!R$2:R$1275,Ordenes!AF$2:AF$1275,MONTH(A18 &amp;1),Ordenes!AE$2:AE$1275,A$17)</f>
        <v>3238880</v>
      </c>
      <c r="C18" s="28">
        <f>+B18-'Costos Fijos'!L19</f>
        <v>1281516.2199999997</v>
      </c>
      <c r="D18" s="62">
        <f t="shared" ref="D18:D30" si="4">IFERROR(1-(C18/B18),"")</f>
        <v>0.60433352887417879</v>
      </c>
      <c r="E18" s="66">
        <f>COUNTIFS(Ordenes!V:V,MONTH(A18 &amp;17),Ordenes!AC:AC,A$17)</f>
        <v>20</v>
      </c>
      <c r="F18" s="66">
        <f>COUNTIFS(Ordenes!W:W,MONTH(A18 &amp;17),Ordenes!AD:AD,A$17)</f>
        <v>23</v>
      </c>
      <c r="G18" s="29">
        <f t="shared" ref="G18:G30" si="5">B18-C18</f>
        <v>1957363.7800000003</v>
      </c>
      <c r="H18" s="29">
        <f t="shared" ref="H18:H30" si="6">+C18</f>
        <v>1281516.2199999997</v>
      </c>
      <c r="I18" s="62">
        <f t="shared" ref="I18:I30" si="7">IFERROR(+H18/B18,"")</f>
        <v>0.39566647112582121</v>
      </c>
      <c r="J18" s="33">
        <f>-SUMIFS(Ordenes!X$2:X$1275,Ordenes!AF$2:AF$1275,MONTH(A18 &amp;17),Ordenes!AE$2:AE$1275,A$17)</f>
        <v>0</v>
      </c>
      <c r="K18" s="27"/>
      <c r="L18" s="27">
        <v>400661.78</v>
      </c>
      <c r="M18" s="27"/>
    </row>
    <row r="19" spans="1:16" ht="15" x14ac:dyDescent="0.25">
      <c r="A19" s="10" t="s">
        <v>46</v>
      </c>
      <c r="B19" s="27">
        <f>SUMIFS(Ordenes!R$2:R$1275,Ordenes!AF$2:AF$1275,MONTH(A19 &amp;1),Ordenes!AE$2:AE$1275,A$17)</f>
        <v>4778900</v>
      </c>
      <c r="C19" s="28">
        <f>+B19-'Costos Fijos'!L20</f>
        <v>2582288.6</v>
      </c>
      <c r="D19" s="63">
        <f t="shared" si="4"/>
        <v>0.45964791060704346</v>
      </c>
      <c r="E19" s="66">
        <f>COUNTIFS(Ordenes!V:V,MONTH(A19 &amp;17),Ordenes!AC:AC,A$17)</f>
        <v>22</v>
      </c>
      <c r="F19" s="66">
        <f>COUNTIFS(Ordenes!W:W,MONTH(A19 &amp;17),Ordenes!AD:AD,A$17)</f>
        <v>21</v>
      </c>
      <c r="G19" s="30">
        <f t="shared" si="5"/>
        <v>2196611.4</v>
      </c>
      <c r="H19" s="30">
        <f t="shared" si="6"/>
        <v>2582288.6</v>
      </c>
      <c r="I19" s="63">
        <f t="shared" si="7"/>
        <v>0.54035208939295654</v>
      </c>
      <c r="J19" s="33">
        <f>-SUMIFS(Ordenes!X$2:X$1275,Ordenes!AF$2:AF$1275,MONTH(A19 &amp;17),Ordenes!AE$2:AE$1275,A$17)</f>
        <v>0</v>
      </c>
      <c r="K19" s="27"/>
      <c r="L19" s="27">
        <v>702120.45</v>
      </c>
      <c r="M19" s="27"/>
    </row>
    <row r="20" spans="1:16" ht="15" x14ac:dyDescent="0.25">
      <c r="A20" s="10" t="s">
        <v>47</v>
      </c>
      <c r="B20" s="27">
        <f>SUMIFS(Ordenes!R$2:R$1275,Ordenes!AF$2:AF$1275,MONTH(A20 &amp;1),Ordenes!AE$2:AE$1275,A$17)</f>
        <v>3145000</v>
      </c>
      <c r="C20" s="28">
        <f>+B20-'Costos Fijos'!L21</f>
        <v>936957.52</v>
      </c>
      <c r="D20" s="63">
        <f t="shared" si="4"/>
        <v>0.70208027980922094</v>
      </c>
      <c r="E20" s="66">
        <f>COUNTIFS(Ordenes!V:V,MONTH(A20 &amp;17),Ordenes!AC:AC,A$17)</f>
        <v>20</v>
      </c>
      <c r="F20" s="66">
        <f>COUNTIFS(Ordenes!W:W,MONTH(A20 &amp;17),Ordenes!AD:AD,A$17)</f>
        <v>16</v>
      </c>
      <c r="G20" s="30">
        <f t="shared" si="5"/>
        <v>2208042.48</v>
      </c>
      <c r="H20" s="30">
        <f t="shared" si="6"/>
        <v>936957.52</v>
      </c>
      <c r="I20" s="63">
        <f t="shared" si="7"/>
        <v>0.297919720190779</v>
      </c>
      <c r="J20" s="33">
        <f>-SUMIFS(Ordenes!X$2:X$1275,Ordenes!AF$2:AF$1275,MONTH(A20 &amp;17),Ordenes!AE$2:AE$1275,A$17)</f>
        <v>109500</v>
      </c>
      <c r="K20" s="27"/>
      <c r="L20" s="27">
        <v>799548.96</v>
      </c>
      <c r="M20" s="27"/>
    </row>
    <row r="21" spans="1:16" ht="15" x14ac:dyDescent="0.25">
      <c r="A21" s="10" t="s">
        <v>48</v>
      </c>
      <c r="B21" s="27">
        <f>SUMIFS(Ordenes!R$2:R$1275,Ordenes!AF$2:AF$1275,MONTH(A21 &amp;1),Ordenes!AE$2:AE$1275,A$17)</f>
        <v>5408100</v>
      </c>
      <c r="C21" s="28">
        <f>+B21-'Costos Fijos'!L22</f>
        <v>4587785.4400000004</v>
      </c>
      <c r="D21" s="63">
        <f t="shared" si="4"/>
        <v>0.15168257983395272</v>
      </c>
      <c r="E21" s="66">
        <f>COUNTIFS(Ordenes!V:V,MONTH(A21 &amp;17),Ordenes!AC:AC,A$17)</f>
        <v>24</v>
      </c>
      <c r="F21" s="66">
        <f>COUNTIFS(Ordenes!W:W,MONTH(A21 &amp;17),Ordenes!AD:AD,A$17)</f>
        <v>21</v>
      </c>
      <c r="G21" s="30">
        <f t="shared" si="5"/>
        <v>820314.55999999959</v>
      </c>
      <c r="H21" s="30">
        <f t="shared" si="6"/>
        <v>4587785.4400000004</v>
      </c>
      <c r="I21" s="63">
        <f t="shared" si="7"/>
        <v>0.84831742016604728</v>
      </c>
      <c r="J21" s="33">
        <f>-SUMIFS(Ordenes!X$2:X$1275,Ordenes!AF$2:AF$1275,MONTH(A21 &amp;17),Ordenes!AE$2:AE$1275,A$17)</f>
        <v>2737100</v>
      </c>
      <c r="K21" s="27">
        <v>1250000</v>
      </c>
      <c r="L21" s="27">
        <v>708435.94</v>
      </c>
      <c r="M21" s="27">
        <v>1000</v>
      </c>
    </row>
    <row r="22" spans="1:16" ht="15" x14ac:dyDescent="0.25">
      <c r="A22" s="10" t="s">
        <v>49</v>
      </c>
      <c r="B22" s="27">
        <f>SUMIFS(Ordenes!R$2:R$1275,Ordenes!AF$2:AF$1275,MONTH(A22 &amp;1),Ordenes!AE$2:AE$1275,A$17)</f>
        <v>0</v>
      </c>
      <c r="C22" s="28">
        <f>+B22-'Costos Fijos'!L23</f>
        <v>0</v>
      </c>
      <c r="D22" s="63" t="str">
        <f t="shared" si="4"/>
        <v/>
      </c>
      <c r="E22" s="66">
        <f>COUNTIFS(Ordenes!V:V,MONTH(A22 &amp;17),Ordenes!AC:AC,A$17)</f>
        <v>0</v>
      </c>
      <c r="F22" s="66">
        <f>COUNTIFS(Ordenes!W:W,MONTH(A22 &amp;17),Ordenes!AD:AD,A$17)</f>
        <v>0</v>
      </c>
      <c r="G22" s="30">
        <f t="shared" si="5"/>
        <v>0</v>
      </c>
      <c r="H22" s="30">
        <f t="shared" si="6"/>
        <v>0</v>
      </c>
      <c r="I22" s="63" t="str">
        <f t="shared" si="7"/>
        <v/>
      </c>
      <c r="J22" s="33">
        <f>-SUMIFS(Ordenes!X$2:X$1275,Ordenes!AF$2:AF$1275,MONTH(A22 &amp;17),Ordenes!AE$2:AE$1275,A$17)</f>
        <v>0</v>
      </c>
      <c r="K22" s="27"/>
      <c r="L22" s="27"/>
      <c r="M22" s="27"/>
    </row>
    <row r="23" spans="1:16" ht="15" x14ac:dyDescent="0.25">
      <c r="A23" s="10" t="s">
        <v>50</v>
      </c>
      <c r="B23" s="27">
        <f>SUMIFS(Ordenes!R$2:R$1275,Ordenes!AF$2:AF$1275,MONTH(A23 &amp;1),Ordenes!AE$2:AE$1275,A$17)</f>
        <v>0</v>
      </c>
      <c r="C23" s="28">
        <f>+B23-'Costos Fijos'!L24</f>
        <v>0</v>
      </c>
      <c r="D23" s="63" t="str">
        <f t="shared" si="4"/>
        <v/>
      </c>
      <c r="E23" s="66">
        <f>COUNTIFS(Ordenes!V:V,MONTH(A23 &amp;17),Ordenes!AC:AC,A$17)</f>
        <v>0</v>
      </c>
      <c r="F23" s="66">
        <f>COUNTIFS(Ordenes!W:W,MONTH(A23 &amp;17),Ordenes!AD:AD,A$17)</f>
        <v>0</v>
      </c>
      <c r="G23" s="30">
        <f t="shared" si="5"/>
        <v>0</v>
      </c>
      <c r="H23" s="30">
        <f t="shared" si="6"/>
        <v>0</v>
      </c>
      <c r="I23" s="63" t="str">
        <f t="shared" si="7"/>
        <v/>
      </c>
      <c r="J23" s="33">
        <f>-SUMIFS(Ordenes!X$2:X$1275,Ordenes!AF$2:AF$1275,MONTH(A23 &amp;17),Ordenes!AE$2:AE$1275,A$17)</f>
        <v>0</v>
      </c>
      <c r="K23" s="27"/>
      <c r="L23" s="27"/>
      <c r="M23" s="60"/>
    </row>
    <row r="24" spans="1:16" ht="15" x14ac:dyDescent="0.25">
      <c r="A24" s="10" t="s">
        <v>51</v>
      </c>
      <c r="B24" s="27">
        <f>SUMIFS(Ordenes!R$2:R$1275,Ordenes!AF$2:AF$1275,MONTH(A24 &amp;1),Ordenes!AE$2:AE$1275,A$17)</f>
        <v>0</v>
      </c>
      <c r="C24" s="28">
        <f>+B24-'Costos Fijos'!L25</f>
        <v>0</v>
      </c>
      <c r="D24" s="63" t="str">
        <f t="shared" si="4"/>
        <v/>
      </c>
      <c r="E24" s="66">
        <f>COUNTIFS(Ordenes!V:V,MONTH(A24 &amp;17),Ordenes!AC:AC,A$17)</f>
        <v>0</v>
      </c>
      <c r="F24" s="66">
        <f>COUNTIFS(Ordenes!W:W,MONTH(A24 &amp;17),Ordenes!AD:AD,A$17)</f>
        <v>0</v>
      </c>
      <c r="G24" s="30">
        <f t="shared" si="5"/>
        <v>0</v>
      </c>
      <c r="H24" s="30">
        <f t="shared" si="6"/>
        <v>0</v>
      </c>
      <c r="I24" s="63" t="str">
        <f t="shared" si="7"/>
        <v/>
      </c>
      <c r="J24" s="33">
        <f>-SUMIFS(Ordenes!X$2:X$1275,Ordenes!AF$2:AF$1275,MONTH(A24 &amp;17),Ordenes!AE$2:AE$1275,A$17)</f>
        <v>0</v>
      </c>
      <c r="K24" s="27"/>
      <c r="L24" s="27"/>
      <c r="M24" s="27"/>
    </row>
    <row r="25" spans="1:16" ht="15" x14ac:dyDescent="0.25">
      <c r="A25" s="10" t="s">
        <v>52</v>
      </c>
      <c r="B25" s="27">
        <f>SUMIFS(Ordenes!R$2:R$1275,Ordenes!AF$2:AF$1275,MONTH(A25 &amp;1),Ordenes!AE$2:AE$1275,A$17)</f>
        <v>0</v>
      </c>
      <c r="C25" s="28">
        <f>+B25-'Costos Fijos'!L26</f>
        <v>0</v>
      </c>
      <c r="D25" s="63" t="str">
        <f t="shared" si="4"/>
        <v/>
      </c>
      <c r="E25" s="66">
        <f>COUNTIFS(Ordenes!V:V,MONTH(A25 &amp;17),Ordenes!AC:AC,A$17)</f>
        <v>0</v>
      </c>
      <c r="F25" s="66">
        <f>COUNTIFS(Ordenes!W:W,MONTH(A25 &amp;17),Ordenes!AD:AD,A$17)</f>
        <v>0</v>
      </c>
      <c r="G25" s="30">
        <f t="shared" si="5"/>
        <v>0</v>
      </c>
      <c r="H25" s="30">
        <f t="shared" si="6"/>
        <v>0</v>
      </c>
      <c r="I25" s="63" t="str">
        <f t="shared" si="7"/>
        <v/>
      </c>
      <c r="J25" s="33">
        <f>-SUMIFS(Ordenes!X$2:X$1275,Ordenes!AF$2:AF$1275,MONTH(A25 &amp;17),Ordenes!AE$2:AE$1275,A$17)</f>
        <v>0</v>
      </c>
      <c r="K25" s="27"/>
      <c r="L25" s="27"/>
      <c r="M25" s="27"/>
    </row>
    <row r="26" spans="1:16" ht="15" x14ac:dyDescent="0.25">
      <c r="A26" s="10" t="s">
        <v>53</v>
      </c>
      <c r="B26" s="27">
        <f>SUMIFS(Ordenes!R$2:R$1275,Ordenes!AF$2:AF$1275,MONTH(A26 &amp;1),Ordenes!AE$2:AE$1275,A$17)</f>
        <v>0</v>
      </c>
      <c r="C26" s="28">
        <f>+B26-'Costos Fijos'!L27</f>
        <v>0</v>
      </c>
      <c r="D26" s="63" t="str">
        <f t="shared" si="4"/>
        <v/>
      </c>
      <c r="E26" s="66">
        <f>COUNTIFS(Ordenes!V:V,MONTH(A26 &amp;17),Ordenes!AC:AC,A$17)</f>
        <v>0</v>
      </c>
      <c r="F26" s="66">
        <f>COUNTIFS(Ordenes!W:W,MONTH(A26 &amp;17),Ordenes!AD:AD,A$17)</f>
        <v>0</v>
      </c>
      <c r="G26" s="30">
        <f t="shared" si="5"/>
        <v>0</v>
      </c>
      <c r="H26" s="30">
        <f t="shared" si="6"/>
        <v>0</v>
      </c>
      <c r="I26" s="63" t="str">
        <f t="shared" si="7"/>
        <v/>
      </c>
      <c r="J26" s="33">
        <f>-SUMIFS(Ordenes!X$2:X$1275,Ordenes!AF$2:AF$1275,MONTH(A26 &amp;17),Ordenes!AE$2:AE$1275,A$17)</f>
        <v>0</v>
      </c>
      <c r="K26" s="27"/>
      <c r="L26" s="27"/>
      <c r="M26" s="27"/>
    </row>
    <row r="27" spans="1:16" ht="15" x14ac:dyDescent="0.25">
      <c r="A27" s="10" t="s">
        <v>54</v>
      </c>
      <c r="B27" s="27">
        <f>SUMIFS(Ordenes!R$2:R$1275,Ordenes!AF$2:AF$1275,MONTH(A27 &amp;1),Ordenes!AE$2:AE$1275,A$17)</f>
        <v>0</v>
      </c>
      <c r="C27" s="28">
        <f>+B27-'Costos Fijos'!L28</f>
        <v>0</v>
      </c>
      <c r="D27" s="63" t="str">
        <f t="shared" si="4"/>
        <v/>
      </c>
      <c r="E27" s="66">
        <f>COUNTIFS(Ordenes!V:V,MONTH(A27 &amp;17),Ordenes!AC:AC,A$17)</f>
        <v>0</v>
      </c>
      <c r="F27" s="66">
        <f>COUNTIFS(Ordenes!W:W,MONTH(A27 &amp;17),Ordenes!AD:AD,A$17)</f>
        <v>0</v>
      </c>
      <c r="G27" s="30">
        <f t="shared" si="5"/>
        <v>0</v>
      </c>
      <c r="H27" s="30">
        <f t="shared" si="6"/>
        <v>0</v>
      </c>
      <c r="I27" s="63" t="str">
        <f t="shared" si="7"/>
        <v/>
      </c>
      <c r="J27" s="33">
        <f>-SUMIFS(Ordenes!X$2:X$1275,Ordenes!AF$2:AF$1275,MONTH(A27 &amp;17),Ordenes!AE$2:AE$1275,A$17)</f>
        <v>0</v>
      </c>
      <c r="K27" s="27"/>
      <c r="L27" s="27"/>
      <c r="M27" s="27"/>
      <c r="O27" s="17"/>
      <c r="P27" s="18">
        <f>P13+H30-J30</f>
        <v>4856091.3099999987</v>
      </c>
    </row>
    <row r="28" spans="1:16" ht="15" x14ac:dyDescent="0.25">
      <c r="A28" s="10" t="s">
        <v>55</v>
      </c>
      <c r="B28" s="27">
        <f>SUMIFS(Ordenes!R$2:R$1275,Ordenes!AF$2:AF$1275,MONTH(A28 &amp;1),Ordenes!AE$2:AE$1275,A$17)</f>
        <v>0</v>
      </c>
      <c r="C28" s="28">
        <f>+B28-'Costos Fijos'!L29</f>
        <v>0</v>
      </c>
      <c r="D28" s="63" t="str">
        <f t="shared" si="4"/>
        <v/>
      </c>
      <c r="E28" s="66">
        <f>COUNTIFS(Ordenes!V:V,MONTH(A28 &amp;17),Ordenes!AC:AC,A$17)</f>
        <v>0</v>
      </c>
      <c r="F28" s="66">
        <f>COUNTIFS(Ordenes!W:W,MONTH(A28 &amp;17),Ordenes!AD:AD,A$17)</f>
        <v>0</v>
      </c>
      <c r="G28" s="30">
        <f t="shared" si="5"/>
        <v>0</v>
      </c>
      <c r="H28" s="30">
        <f t="shared" si="6"/>
        <v>0</v>
      </c>
      <c r="I28" s="63" t="str">
        <f t="shared" si="7"/>
        <v/>
      </c>
      <c r="J28" s="33">
        <f>-SUMIFS(Ordenes!X$2:X$1275,Ordenes!AF$2:AF$1275,MONTH(A28 &amp;17),Ordenes!AE$2:AE$1275,A$17)</f>
        <v>0</v>
      </c>
      <c r="K28" s="27"/>
      <c r="L28" s="27"/>
      <c r="M28" s="27"/>
      <c r="O28" s="17" t="s">
        <v>1002</v>
      </c>
      <c r="P28" s="18"/>
    </row>
    <row r="29" spans="1:16" ht="16.5" thickBot="1" x14ac:dyDescent="0.3">
      <c r="A29" s="11" t="s">
        <v>56</v>
      </c>
      <c r="B29" s="27">
        <f>SUMIFS(Ordenes!R$2:R$1275,Ordenes!AF$2:AF$1275,MONTH(A29 &amp;1),Ordenes!AE$2:AE$1275,A$17)</f>
        <v>0</v>
      </c>
      <c r="C29" s="28">
        <f>+B29-'Costos Fijos'!L30</f>
        <v>0</v>
      </c>
      <c r="D29" s="64" t="str">
        <f t="shared" si="4"/>
        <v/>
      </c>
      <c r="E29" s="66">
        <f>COUNTIFS(Ordenes!V:V,MONTH(A29 &amp;17),Ordenes!AC:AC,A$17)</f>
        <v>0</v>
      </c>
      <c r="F29" s="66">
        <f>COUNTIFS(Ordenes!W:W,MONTH(A29 &amp;17),Ordenes!AD:AD,A$17)</f>
        <v>0</v>
      </c>
      <c r="G29" s="34">
        <f t="shared" si="5"/>
        <v>0</v>
      </c>
      <c r="H29" s="34">
        <f t="shared" si="6"/>
        <v>0</v>
      </c>
      <c r="I29" s="64" t="str">
        <f t="shared" si="7"/>
        <v/>
      </c>
      <c r="J29" s="33">
        <f>-SUMIFS(Ordenes!X$2:X$1275,Ordenes!AF$2:AF$1275,MONTH(A29 &amp;17),Ordenes!AE$2:AE$1275,A$17)</f>
        <v>0</v>
      </c>
      <c r="K29" s="27"/>
      <c r="L29" s="27"/>
      <c r="M29" s="27"/>
      <c r="O29" s="15" t="s">
        <v>66</v>
      </c>
      <c r="P29" s="16">
        <f>P27+P28+L30-K30</f>
        <v>6216858.4399999985</v>
      </c>
    </row>
    <row r="30" spans="1:16" ht="16.5" thickBot="1" x14ac:dyDescent="0.3">
      <c r="A30" s="12" t="s">
        <v>57</v>
      </c>
      <c r="B30" s="35">
        <f>SUM(B18:B29)</f>
        <v>16570880</v>
      </c>
      <c r="C30" s="36">
        <f>SUM(C18:C29)</f>
        <v>9388547.7800000012</v>
      </c>
      <c r="D30" s="65">
        <f t="shared" si="4"/>
        <v>0.43343094754171163</v>
      </c>
      <c r="E30" s="67">
        <f>SUM(E18:E29)</f>
        <v>86</v>
      </c>
      <c r="F30" s="67">
        <f>SUM(F18:F29)</f>
        <v>81</v>
      </c>
      <c r="G30" s="37">
        <f t="shared" si="5"/>
        <v>7182332.2199999988</v>
      </c>
      <c r="H30" s="37">
        <f t="shared" si="6"/>
        <v>9388547.7800000012</v>
      </c>
      <c r="I30" s="65">
        <f t="shared" si="7"/>
        <v>0.56656905245828837</v>
      </c>
      <c r="J30" s="38">
        <f>SUM(J18:J29)</f>
        <v>2846600</v>
      </c>
      <c r="K30" s="39">
        <f>SUM(K18:K29)</f>
        <v>1250000</v>
      </c>
      <c r="L30" s="39">
        <f>SUM(L18:L29)</f>
        <v>2610767.13</v>
      </c>
      <c r="M30" s="39">
        <f>SUM(M18:M29)+M14</f>
        <v>7089.03</v>
      </c>
      <c r="O30" s="15" t="s">
        <v>67</v>
      </c>
      <c r="P30" s="16">
        <f>P29-'[4]2025'!$P$500</f>
        <v>0.48999999742954969</v>
      </c>
    </row>
    <row r="31" spans="1:16" ht="16.5" thickBot="1" x14ac:dyDescent="0.3">
      <c r="B31" s="61">
        <f>(B30/B14)-1</f>
        <v>-0.53043138907114284</v>
      </c>
      <c r="C31" s="61">
        <f>(C30/C14)-1</f>
        <v>0.91100887416629495</v>
      </c>
    </row>
  </sheetData>
  <pageMargins left="0.7" right="0.7" top="0.75" bottom="0.75" header="0.3" footer="0.3"/>
  <pageSetup orientation="portrait" r:id="rId1"/>
  <ignoredErrors>
    <ignoredError sqref="D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15" sqref="E1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Ordenes</vt:lpstr>
      <vt:lpstr>Costos Fijos</vt:lpstr>
      <vt:lpstr>Resumen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2022-10-05T01:24:50Z</dcterms:created>
  <dcterms:modified xsi:type="dcterms:W3CDTF">2025-04-29T01:27:35Z</dcterms:modified>
</cp:coreProperties>
</file>