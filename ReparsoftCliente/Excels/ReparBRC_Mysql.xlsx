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ers\Diego\git\SistemaGestion\ReparsoftCliente\Excels\"/>
    </mc:Choice>
  </mc:AlternateContent>
  <xr:revisionPtr revIDLastSave="0" documentId="13_ncr:8001_{15D67FA4-2147-4B4F-BCDE-8C4754B924C2}" xr6:coauthVersionLast="47" xr6:coauthVersionMax="47" xr10:uidLastSave="{00000000-0000-0000-0000-000000000000}"/>
  <workbookProtection workbookAlgorithmName="SHA-512" workbookHashValue="06UfaJkofw85G9F+5mG3NDchHsrYtIDoVmz6dJQZnAy2iAFj/UWAlEn1i53KqYa28EKL1G1fpuDbSIxQjdT/0A==" workbookSaltValue="ZfI/meII8bin6P4X9Wue2g==" workbookSpinCount="100000" lockStructure="1"/>
  <bookViews>
    <workbookView xWindow="28680" yWindow="-120" windowWidth="29040" windowHeight="15720" tabRatio="601" activeTab="2" xr2:uid="{00000000-000D-0000-FFFF-FFFF00000000}"/>
  </bookViews>
  <sheets>
    <sheet name="Ordenes" sheetId="1" r:id="rId1"/>
    <sheet name="Costos Fijos" sheetId="2" r:id="rId2"/>
    <sheet name="Resumen" sheetId="3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Consulta_reparacionesELS" localSheetId="0" hidden="1">Ordenes!$A$1:$AA$507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T2" i="1"/>
  <c r="T3" i="1" s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T422" i="1" s="1"/>
  <c r="T423" i="1" s="1"/>
  <c r="T424" i="1" s="1"/>
  <c r="T425" i="1" s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T452" i="1" s="1"/>
  <c r="T453" i="1" s="1"/>
  <c r="T454" i="1" s="1"/>
  <c r="T455" i="1" s="1"/>
  <c r="T456" i="1" s="1"/>
  <c r="T457" i="1" s="1"/>
  <c r="T458" i="1" s="1"/>
  <c r="T459" i="1" s="1"/>
  <c r="T460" i="1" s="1"/>
  <c r="T461" i="1" s="1"/>
  <c r="T462" i="1" s="1"/>
  <c r="T463" i="1" s="1"/>
  <c r="T464" i="1" s="1"/>
  <c r="T465" i="1" s="1"/>
  <c r="T466" i="1" s="1"/>
  <c r="T467" i="1" s="1"/>
  <c r="T468" i="1" s="1"/>
  <c r="T469" i="1" s="1"/>
  <c r="T470" i="1" s="1"/>
  <c r="T471" i="1" s="1"/>
  <c r="T472" i="1" s="1"/>
  <c r="T473" i="1" s="1"/>
  <c r="T474" i="1" s="1"/>
  <c r="T475" i="1" s="1"/>
  <c r="T476" i="1" s="1"/>
  <c r="T477" i="1" s="1"/>
  <c r="T478" i="1" s="1"/>
  <c r="T479" i="1" s="1"/>
  <c r="T480" i="1" s="1"/>
  <c r="T481" i="1" s="1"/>
  <c r="T482" i="1" s="1"/>
  <c r="T483" i="1" s="1"/>
  <c r="T484" i="1" s="1"/>
  <c r="T485" i="1" s="1"/>
  <c r="T486" i="1" s="1"/>
  <c r="T487" i="1" s="1"/>
  <c r="T488" i="1" s="1"/>
  <c r="T489" i="1" s="1"/>
  <c r="T490" i="1" s="1"/>
  <c r="T491" i="1" s="1"/>
  <c r="T492" i="1" s="1"/>
  <c r="T493" i="1" s="1"/>
  <c r="T494" i="1" s="1"/>
  <c r="T495" i="1" s="1"/>
  <c r="T496" i="1" s="1"/>
  <c r="T497" i="1" s="1"/>
  <c r="T498" i="1" s="1"/>
  <c r="T499" i="1" s="1"/>
  <c r="T500" i="1" s="1"/>
  <c r="T501" i="1" s="1"/>
  <c r="T502" i="1" s="1"/>
  <c r="T503" i="1" s="1"/>
  <c r="T504" i="1" s="1"/>
  <c r="T505" i="1" s="1"/>
  <c r="T506" i="1" s="1"/>
  <c r="T507" i="1" s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K36" i="2" l="1"/>
  <c r="M46" i="3" l="1"/>
  <c r="K46" i="3"/>
  <c r="L46" i="3"/>
  <c r="E43" i="3" l="1"/>
  <c r="E34" i="3"/>
  <c r="F40" i="3"/>
  <c r="E45" i="3"/>
  <c r="F41" i="3"/>
  <c r="B41" i="3"/>
  <c r="B39" i="3"/>
  <c r="B43" i="3"/>
  <c r="B38" i="3"/>
  <c r="J44" i="3"/>
  <c r="F42" i="3"/>
  <c r="E44" i="3"/>
  <c r="B44" i="3"/>
  <c r="B45" i="3"/>
  <c r="B35" i="3"/>
  <c r="B37" i="3"/>
  <c r="J37" i="3"/>
  <c r="J38" i="3"/>
  <c r="J39" i="3"/>
  <c r="J40" i="3"/>
  <c r="J41" i="3"/>
  <c r="J42" i="3"/>
  <c r="F34" i="3"/>
  <c r="J45" i="3"/>
  <c r="J43" i="3"/>
  <c r="B42" i="3"/>
  <c r="B40" i="3"/>
  <c r="B36" i="3"/>
  <c r="F36" i="3"/>
  <c r="F37" i="3"/>
  <c r="F38" i="3"/>
  <c r="F39" i="3"/>
  <c r="F35" i="3"/>
  <c r="F43" i="3"/>
  <c r="F44" i="3"/>
  <c r="F45" i="3"/>
  <c r="E36" i="3"/>
  <c r="E35" i="3"/>
  <c r="E42" i="3"/>
  <c r="E41" i="3"/>
  <c r="E40" i="3"/>
  <c r="E39" i="3"/>
  <c r="E38" i="3"/>
  <c r="E37" i="3"/>
  <c r="J35" i="3"/>
  <c r="J34" i="3"/>
  <c r="B34" i="3"/>
  <c r="J36" i="3"/>
  <c r="B46" i="3" l="1"/>
  <c r="F46" i="3"/>
  <c r="E46" i="3"/>
  <c r="J46" i="3"/>
  <c r="J48" i="2" l="1"/>
  <c r="H48" i="2"/>
  <c r="D48" i="2"/>
  <c r="C48" i="2"/>
  <c r="B48" i="2"/>
  <c r="K47" i="2"/>
  <c r="I47" i="2"/>
  <c r="G47" i="2"/>
  <c r="F47" i="2"/>
  <c r="E47" i="2"/>
  <c r="K46" i="2"/>
  <c r="I46" i="2"/>
  <c r="G46" i="2"/>
  <c r="F46" i="2"/>
  <c r="E46" i="2"/>
  <c r="K45" i="2"/>
  <c r="I45" i="2"/>
  <c r="G45" i="2"/>
  <c r="F45" i="2"/>
  <c r="E45" i="2"/>
  <c r="K44" i="2"/>
  <c r="I44" i="2"/>
  <c r="G44" i="2"/>
  <c r="F44" i="2"/>
  <c r="E44" i="2"/>
  <c r="K43" i="2"/>
  <c r="I43" i="2"/>
  <c r="G43" i="2"/>
  <c r="F43" i="2"/>
  <c r="E43" i="2"/>
  <c r="K42" i="2"/>
  <c r="I42" i="2"/>
  <c r="G42" i="2"/>
  <c r="F42" i="2"/>
  <c r="E42" i="2"/>
  <c r="K41" i="2"/>
  <c r="I41" i="2"/>
  <c r="G41" i="2"/>
  <c r="F41" i="2"/>
  <c r="E41" i="2"/>
  <c r="K40" i="2"/>
  <c r="I40" i="2"/>
  <c r="G40" i="2"/>
  <c r="F40" i="2"/>
  <c r="E40" i="2"/>
  <c r="K39" i="2"/>
  <c r="I39" i="2"/>
  <c r="G39" i="2"/>
  <c r="F39" i="2"/>
  <c r="E39" i="2"/>
  <c r="K38" i="2"/>
  <c r="I38" i="2"/>
  <c r="G38" i="2"/>
  <c r="F38" i="2"/>
  <c r="E38" i="2"/>
  <c r="K37" i="2"/>
  <c r="I37" i="2"/>
  <c r="G37" i="2"/>
  <c r="F37" i="2"/>
  <c r="E37" i="2"/>
  <c r="I36" i="2"/>
  <c r="G36" i="2"/>
  <c r="F36" i="2"/>
  <c r="E36" i="2"/>
  <c r="C14" i="2"/>
  <c r="C31" i="2"/>
  <c r="D31" i="2"/>
  <c r="L47" i="2" l="1"/>
  <c r="C45" i="3" s="1"/>
  <c r="D45" i="3" s="1"/>
  <c r="L39" i="2"/>
  <c r="C37" i="3" s="1"/>
  <c r="D37" i="3" s="1"/>
  <c r="L44" i="2"/>
  <c r="C42" i="3" s="1"/>
  <c r="H42" i="3" s="1"/>
  <c r="I42" i="3" s="1"/>
  <c r="L43" i="2"/>
  <c r="C41" i="3" s="1"/>
  <c r="G41" i="3" s="1"/>
  <c r="L40" i="2"/>
  <c r="C38" i="3" s="1"/>
  <c r="H38" i="3" s="1"/>
  <c r="I38" i="3" s="1"/>
  <c r="I48" i="2"/>
  <c r="L45" i="2"/>
  <c r="C43" i="3" s="1"/>
  <c r="L46" i="2"/>
  <c r="C44" i="3" s="1"/>
  <c r="F48" i="2"/>
  <c r="G48" i="2"/>
  <c r="L37" i="2"/>
  <c r="C35" i="3" s="1"/>
  <c r="L38" i="2"/>
  <c r="C36" i="3" s="1"/>
  <c r="L41" i="2"/>
  <c r="C39" i="3" s="1"/>
  <c r="L42" i="2"/>
  <c r="C40" i="3" s="1"/>
  <c r="E48" i="2"/>
  <c r="K23" i="2"/>
  <c r="G45" i="3" l="1"/>
  <c r="H37" i="3"/>
  <c r="I37" i="3" s="1"/>
  <c r="H41" i="3"/>
  <c r="I41" i="3" s="1"/>
  <c r="H45" i="3"/>
  <c r="I45" i="3" s="1"/>
  <c r="G38" i="3"/>
  <c r="G37" i="3"/>
  <c r="G42" i="3"/>
  <c r="D42" i="3"/>
  <c r="D38" i="3"/>
  <c r="D41" i="3"/>
  <c r="G40" i="3"/>
  <c r="D40" i="3"/>
  <c r="H40" i="3"/>
  <c r="I40" i="3" s="1"/>
  <c r="D44" i="3"/>
  <c r="H44" i="3"/>
  <c r="I44" i="3" s="1"/>
  <c r="G44" i="3"/>
  <c r="D43" i="3"/>
  <c r="H43" i="3"/>
  <c r="I43" i="3" s="1"/>
  <c r="G43" i="3"/>
  <c r="H39" i="3"/>
  <c r="I39" i="3" s="1"/>
  <c r="G39" i="3"/>
  <c r="D39" i="3"/>
  <c r="D36" i="3"/>
  <c r="G36" i="3"/>
  <c r="H36" i="3"/>
  <c r="I36" i="3" s="1"/>
  <c r="D35" i="3"/>
  <c r="H35" i="3"/>
  <c r="I35" i="3" s="1"/>
  <c r="G35" i="3"/>
  <c r="E27" i="3"/>
  <c r="F23" i="3"/>
  <c r="B20" i="3"/>
  <c r="B23" i="3"/>
  <c r="F27" i="3"/>
  <c r="F19" i="3"/>
  <c r="E19" i="3"/>
  <c r="E23" i="3"/>
  <c r="J23" i="3"/>
  <c r="J27" i="3"/>
  <c r="J25" i="3"/>
  <c r="F29" i="3"/>
  <c r="F25" i="3"/>
  <c r="F21" i="3"/>
  <c r="E29" i="3"/>
  <c r="E25" i="3"/>
  <c r="E21" i="3"/>
  <c r="B27" i="3"/>
  <c r="B19" i="3"/>
  <c r="J29" i="3"/>
  <c r="J20" i="3"/>
  <c r="F28" i="3"/>
  <c r="F26" i="3"/>
  <c r="F24" i="3"/>
  <c r="F22" i="3"/>
  <c r="F20" i="3"/>
  <c r="F18" i="3"/>
  <c r="E28" i="3"/>
  <c r="E26" i="3"/>
  <c r="E24" i="3"/>
  <c r="E22" i="3"/>
  <c r="E20" i="3"/>
  <c r="E18" i="3"/>
  <c r="J21" i="3"/>
  <c r="J19" i="3"/>
  <c r="B29" i="3"/>
  <c r="B25" i="3"/>
  <c r="B21" i="3"/>
  <c r="B18" i="3"/>
  <c r="J18" i="3"/>
  <c r="J28" i="3"/>
  <c r="J26" i="3"/>
  <c r="J24" i="3"/>
  <c r="J22" i="3"/>
  <c r="B28" i="3"/>
  <c r="B26" i="3"/>
  <c r="B24" i="3"/>
  <c r="B22" i="3"/>
  <c r="M11" i="3" l="1"/>
  <c r="M14" i="3" s="1"/>
  <c r="M30" i="3" s="1"/>
  <c r="K11" i="3"/>
  <c r="K9" i="3"/>
  <c r="L5" i="3"/>
  <c r="K5" i="3"/>
  <c r="L4" i="3"/>
  <c r="L3" i="3"/>
  <c r="K3" i="3"/>
  <c r="L2" i="3"/>
  <c r="K30" i="3"/>
  <c r="L30" i="3"/>
  <c r="J31" i="2"/>
  <c r="H31" i="2"/>
  <c r="B31" i="2"/>
  <c r="K30" i="2"/>
  <c r="I30" i="2"/>
  <c r="G30" i="2"/>
  <c r="F30" i="2"/>
  <c r="E30" i="2"/>
  <c r="K29" i="2"/>
  <c r="I29" i="2"/>
  <c r="G29" i="2"/>
  <c r="F29" i="2"/>
  <c r="E29" i="2"/>
  <c r="K28" i="2"/>
  <c r="I28" i="2"/>
  <c r="G28" i="2"/>
  <c r="F28" i="2"/>
  <c r="E28" i="2"/>
  <c r="K27" i="2"/>
  <c r="I27" i="2"/>
  <c r="G27" i="2"/>
  <c r="F27" i="2"/>
  <c r="E27" i="2"/>
  <c r="K26" i="2"/>
  <c r="I26" i="2"/>
  <c r="G26" i="2"/>
  <c r="F26" i="2"/>
  <c r="E26" i="2"/>
  <c r="K25" i="2"/>
  <c r="I25" i="2"/>
  <c r="G25" i="2"/>
  <c r="F25" i="2"/>
  <c r="E25" i="2"/>
  <c r="K24" i="2"/>
  <c r="I24" i="2"/>
  <c r="G24" i="2"/>
  <c r="F24" i="2"/>
  <c r="E24" i="2"/>
  <c r="I23" i="2"/>
  <c r="G23" i="2"/>
  <c r="F23" i="2"/>
  <c r="E23" i="2"/>
  <c r="K22" i="2"/>
  <c r="I22" i="2"/>
  <c r="G22" i="2"/>
  <c r="F22" i="2"/>
  <c r="E22" i="2"/>
  <c r="K21" i="2"/>
  <c r="I21" i="2"/>
  <c r="G21" i="2"/>
  <c r="F21" i="2"/>
  <c r="E21" i="2"/>
  <c r="K20" i="2"/>
  <c r="I20" i="2"/>
  <c r="G20" i="2"/>
  <c r="F20" i="2"/>
  <c r="E20" i="2"/>
  <c r="K19" i="2"/>
  <c r="I19" i="2"/>
  <c r="G19" i="2"/>
  <c r="F19" i="2"/>
  <c r="E19" i="2"/>
  <c r="J14" i="2"/>
  <c r="H14" i="2"/>
  <c r="B14" i="2"/>
  <c r="K13" i="2"/>
  <c r="I13" i="2"/>
  <c r="G13" i="2"/>
  <c r="F13" i="2"/>
  <c r="E13" i="2"/>
  <c r="K12" i="2"/>
  <c r="I12" i="2"/>
  <c r="G12" i="2"/>
  <c r="F12" i="2"/>
  <c r="E12" i="2"/>
  <c r="K11" i="2"/>
  <c r="I11" i="2"/>
  <c r="G11" i="2"/>
  <c r="F11" i="2"/>
  <c r="E11" i="2"/>
  <c r="K10" i="2"/>
  <c r="I10" i="2"/>
  <c r="G10" i="2"/>
  <c r="F10" i="2"/>
  <c r="E10" i="2"/>
  <c r="K9" i="2"/>
  <c r="I9" i="2"/>
  <c r="G9" i="2"/>
  <c r="F9" i="2"/>
  <c r="E9" i="2"/>
  <c r="K8" i="2"/>
  <c r="I8" i="2"/>
  <c r="G8" i="2"/>
  <c r="F8" i="2"/>
  <c r="E8" i="2"/>
  <c r="K7" i="2"/>
  <c r="I7" i="2"/>
  <c r="G7" i="2"/>
  <c r="F7" i="2"/>
  <c r="E7" i="2"/>
  <c r="K6" i="2"/>
  <c r="I6" i="2"/>
  <c r="G6" i="2"/>
  <c r="F6" i="2"/>
  <c r="E6" i="2"/>
  <c r="K5" i="2"/>
  <c r="I5" i="2"/>
  <c r="G5" i="2"/>
  <c r="F5" i="2"/>
  <c r="E5" i="2"/>
  <c r="K4" i="2"/>
  <c r="I4" i="2"/>
  <c r="G4" i="2"/>
  <c r="F4" i="2"/>
  <c r="E4" i="2"/>
  <c r="K3" i="2"/>
  <c r="I3" i="2"/>
  <c r="G3" i="2"/>
  <c r="F3" i="2"/>
  <c r="E3" i="2"/>
  <c r="K2" i="2"/>
  <c r="I2" i="2"/>
  <c r="G2" i="2"/>
  <c r="F2" i="2"/>
  <c r="E2" i="2"/>
  <c r="D14" i="2"/>
  <c r="L9" i="2" l="1"/>
  <c r="L8" i="2"/>
  <c r="L3" i="2"/>
  <c r="L7" i="2"/>
  <c r="E31" i="2"/>
  <c r="G14" i="2"/>
  <c r="L4" i="2"/>
  <c r="L10" i="2"/>
  <c r="L11" i="2"/>
  <c r="E14" i="2"/>
  <c r="K14" i="2"/>
  <c r="L6" i="2"/>
  <c r="L12" i="2"/>
  <c r="F14" i="2"/>
  <c r="K31" i="2"/>
  <c r="L22" i="2"/>
  <c r="C21" i="3" s="1"/>
  <c r="D21" i="3" s="1"/>
  <c r="L26" i="2"/>
  <c r="C25" i="3" s="1"/>
  <c r="G25" i="3" s="1"/>
  <c r="L30" i="2"/>
  <c r="C29" i="3" s="1"/>
  <c r="H29" i="3" s="1"/>
  <c r="I29" i="3" s="1"/>
  <c r="F31" i="2"/>
  <c r="G31" i="2"/>
  <c r="L5" i="2"/>
  <c r="L13" i="2"/>
  <c r="I31" i="2"/>
  <c r="I14" i="2"/>
  <c r="L20" i="2"/>
  <c r="C19" i="3" s="1"/>
  <c r="G19" i="3" s="1"/>
  <c r="L24" i="2"/>
  <c r="C23" i="3" s="1"/>
  <c r="G23" i="3" s="1"/>
  <c r="L28" i="2"/>
  <c r="C27" i="3" s="1"/>
  <c r="H27" i="3" s="1"/>
  <c r="I27" i="3" s="1"/>
  <c r="L21" i="2"/>
  <c r="C20" i="3" s="1"/>
  <c r="H20" i="3" s="1"/>
  <c r="I20" i="3" s="1"/>
  <c r="L25" i="2"/>
  <c r="C24" i="3" s="1"/>
  <c r="D24" i="3" s="1"/>
  <c r="L29" i="2"/>
  <c r="C28" i="3" s="1"/>
  <c r="H28" i="3" s="1"/>
  <c r="I28" i="3" s="1"/>
  <c r="L23" i="2"/>
  <c r="C22" i="3" s="1"/>
  <c r="H22" i="3" s="1"/>
  <c r="I22" i="3" s="1"/>
  <c r="L27" i="2"/>
  <c r="C26" i="3" s="1"/>
  <c r="D26" i="3" s="1"/>
  <c r="B10" i="3"/>
  <c r="E30" i="3"/>
  <c r="B30" i="3"/>
  <c r="B47" i="3" s="1"/>
  <c r="L19" i="2"/>
  <c r="L2" i="2"/>
  <c r="D29" i="3" l="1"/>
  <c r="G29" i="3"/>
  <c r="D27" i="3"/>
  <c r="D20" i="3"/>
  <c r="G21" i="3"/>
  <c r="C10" i="3"/>
  <c r="H21" i="3"/>
  <c r="I21" i="3" s="1"/>
  <c r="H25" i="3"/>
  <c r="I25" i="3" s="1"/>
  <c r="D25" i="3"/>
  <c r="L14" i="2"/>
  <c r="H26" i="3"/>
  <c r="I26" i="3" s="1"/>
  <c r="D19" i="3"/>
  <c r="G26" i="3"/>
  <c r="D28" i="3"/>
  <c r="D23" i="3"/>
  <c r="H19" i="3"/>
  <c r="I19" i="3" s="1"/>
  <c r="G24" i="3"/>
  <c r="H23" i="3"/>
  <c r="I23" i="3" s="1"/>
  <c r="G28" i="3"/>
  <c r="H24" i="3"/>
  <c r="I24" i="3" s="1"/>
  <c r="D22" i="3"/>
  <c r="G27" i="3"/>
  <c r="L31" i="2"/>
  <c r="C18" i="3"/>
  <c r="G18" i="3" s="1"/>
  <c r="F30" i="3"/>
  <c r="G22" i="3"/>
  <c r="G20" i="3"/>
  <c r="J30" i="3"/>
  <c r="C30" i="3" l="1"/>
  <c r="D18" i="3"/>
  <c r="H18" i="3"/>
  <c r="I18" i="3" s="1"/>
  <c r="G30" i="3" l="1"/>
  <c r="H30" i="3"/>
  <c r="I30" i="3" s="1"/>
  <c r="D30" i="3"/>
  <c r="J3" i="3" l="1"/>
  <c r="J4" i="3"/>
  <c r="J5" i="3"/>
  <c r="J6" i="3"/>
  <c r="J7" i="3"/>
  <c r="J8" i="3"/>
  <c r="J9" i="3"/>
  <c r="J10" i="3"/>
  <c r="J11" i="3"/>
  <c r="J12" i="3"/>
  <c r="J13" i="3"/>
  <c r="J2" i="3"/>
  <c r="B3" i="3"/>
  <c r="B4" i="3"/>
  <c r="B5" i="3"/>
  <c r="B6" i="3"/>
  <c r="C6" i="3" s="1"/>
  <c r="B7" i="3"/>
  <c r="B8" i="3"/>
  <c r="B9" i="3"/>
  <c r="B11" i="3"/>
  <c r="B12" i="3"/>
  <c r="B13" i="3"/>
  <c r="E3" i="3"/>
  <c r="E4" i="3"/>
  <c r="E5" i="3"/>
  <c r="E6" i="3"/>
  <c r="E7" i="3"/>
  <c r="E8" i="3"/>
  <c r="E9" i="3"/>
  <c r="E10" i="3"/>
  <c r="E11" i="3"/>
  <c r="E12" i="3"/>
  <c r="E13" i="3"/>
  <c r="F3" i="3"/>
  <c r="F4" i="3"/>
  <c r="F5" i="3"/>
  <c r="F6" i="3"/>
  <c r="F7" i="3"/>
  <c r="F8" i="3"/>
  <c r="F9" i="3"/>
  <c r="F10" i="3"/>
  <c r="F11" i="3"/>
  <c r="F12" i="3"/>
  <c r="F13" i="3"/>
  <c r="F2" i="3"/>
  <c r="E2" i="3"/>
  <c r="B2" i="3"/>
  <c r="L14" i="3"/>
  <c r="K14" i="3"/>
  <c r="C8" i="3"/>
  <c r="C4" i="3"/>
  <c r="C5" i="3" l="1"/>
  <c r="C9" i="3"/>
  <c r="C2" i="3"/>
  <c r="C3" i="3"/>
  <c r="C7" i="3"/>
  <c r="C11" i="3"/>
  <c r="C12" i="3"/>
  <c r="C13" i="3"/>
  <c r="G11" i="3" l="1"/>
  <c r="G6" i="3"/>
  <c r="H6" i="3"/>
  <c r="I6" i="3" s="1"/>
  <c r="D6" i="3"/>
  <c r="G9" i="3"/>
  <c r="G4" i="3"/>
  <c r="D4" i="3"/>
  <c r="H4" i="3"/>
  <c r="I4" i="3" s="1"/>
  <c r="G12" i="3"/>
  <c r="G13" i="3"/>
  <c r="G7" i="3"/>
  <c r="G8" i="3"/>
  <c r="G5" i="3"/>
  <c r="J14" i="3" l="1"/>
  <c r="H10" i="3"/>
  <c r="I10" i="3" s="1"/>
  <c r="D10" i="3"/>
  <c r="E14" i="3"/>
  <c r="G3" i="3"/>
  <c r="D3" i="3"/>
  <c r="H3" i="3"/>
  <c r="I3" i="3" s="1"/>
  <c r="H5" i="3"/>
  <c r="I5" i="3" s="1"/>
  <c r="D5" i="3"/>
  <c r="B14" i="3"/>
  <c r="B31" i="3" s="1"/>
  <c r="H13" i="3"/>
  <c r="I13" i="3" s="1"/>
  <c r="D13" i="3"/>
  <c r="F14" i="3"/>
  <c r="H12" i="3"/>
  <c r="I12" i="3" s="1"/>
  <c r="D12" i="3"/>
  <c r="H8" i="3"/>
  <c r="I8" i="3" s="1"/>
  <c r="D8" i="3"/>
  <c r="G10" i="3"/>
  <c r="H7" i="3"/>
  <c r="I7" i="3" s="1"/>
  <c r="D7" i="3"/>
  <c r="H9" i="3"/>
  <c r="I9" i="3" s="1"/>
  <c r="D9" i="3"/>
  <c r="H11" i="3"/>
  <c r="I11" i="3" s="1"/>
  <c r="D11" i="3"/>
  <c r="G2" i="3" l="1"/>
  <c r="D2" i="3"/>
  <c r="C14" i="3"/>
  <c r="C31" i="3" s="1"/>
  <c r="H2" i="3"/>
  <c r="I2" i="3" s="1"/>
  <c r="H14" i="3" l="1"/>
  <c r="P11" i="3" s="1"/>
  <c r="D14" i="3"/>
  <c r="G14" i="3"/>
  <c r="P13" i="3" l="1"/>
  <c r="P27" i="3" s="1"/>
  <c r="P29" i="3" s="1"/>
  <c r="I14" i="3"/>
  <c r="P30" i="3" l="1"/>
  <c r="P14" i="3"/>
  <c r="K48" i="2" l="1"/>
  <c r="L36" i="2"/>
  <c r="C34" i="3" l="1"/>
  <c r="L48" i="2"/>
  <c r="H34" i="3" l="1"/>
  <c r="I34" i="3" s="1"/>
  <c r="G34" i="3"/>
  <c r="C46" i="3"/>
  <c r="D34" i="3"/>
  <c r="D46" i="3" l="1"/>
  <c r="G46" i="3"/>
  <c r="H46" i="3"/>
  <c r="C47" i="3"/>
  <c r="I46" i="3" l="1"/>
  <c r="P43" i="3"/>
  <c r="P45" i="3" s="1"/>
  <c r="P46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interval="2" name="Consulta reparacionesELS" type="1" refreshedVersion="7" background="1" refreshOnLoad="1" saveData="1">
    <dbPr connection="DSN=ReparSoft;UID=root;DESCRIPTION=MySQL Connection;SERVER=localhost;DATABASE=ordenesbrc;PORT=3306;FOUND_ROWS=1;" command="SELECT reparaciones_0.FechaEntrada AS 'FECHA DE ENTRADA', reparaciones_0.ELS, cliente_0.nombre AS 'CLIENTE', sucursal_0.NombreSucursal AS 'SUCURSAL', equipos_0.ClienteCliente AS 'CLIENTE DE CLIENTE', equipos_0.Nombre AS 'EQUIPO', equipos_0.Marca AS 'MARCA', equipos_0.Modelo AS 'MODELO', equipos_0.NumeroDeSerie AS 'N SERIE', equipos_0.Aviso AS 'AVISO', reparaciones_0.FechadeDiagnostico AS 'FECHA DIAGNOSTICO', reparaciones_0.FechAceptacion AS 'FECHA ACEPTACION', reparaciones_0.PrecioDolar AS 'PRECIO DOLAR', reparaciones_0.PrecioPeso AS 'PRECIO PESO', reparaciones_0.EstadoFisico AS 'ESTADO FISICO', reparaciones_0.EstadoTecnico AS 'ESTADO TECNICO', reparaciones_0.EstadoComercial AS 'ESTADO COMERCIAL', reparaciones_0.Pago AS 'PAGO',reparaciones_0.NroFactura AS 'FACTURA', usuario_0.nombre AS 'TECNICO', reparaciones_0.OrdendeCompra AS 'OC', remitos_0.NumeroRemitoSalida AS 'REMITO'_x000d__x000a_FROM ordenesbrc.cliente cliente_0, ordenesbrc.equipos equipos_0, ordenesbrc.remitos remitos_0, ordenesbrc.reparaciones reparaciones_0, ordenesbrc.sucursal sucursal_0, ordenesbrc.usuario usuario_0_x000d__x000a_WHERE cliente_0.idCliente = equipos_0.idCliente AND cliente_0.idCliente = sucursal_0.idCliente AND equipos_0.IdEquipo = reparaciones_0.idEquipo AND equipos_0.IdSucursal = sucursal_0.IdSucursal AND remitos_0.idRemito = reparaciones_0.idRemito AND reparaciones_0.idUsuario = usuario_0.idUsuario_x000d__x000a_ORDER BY reparaciones_0.ELS"/>
  </connection>
</connections>
</file>

<file path=xl/sharedStrings.xml><?xml version="1.0" encoding="utf-8"?>
<sst xmlns="http://schemas.openxmlformats.org/spreadsheetml/2006/main" count="7015" uniqueCount="1752">
  <si>
    <t>ELS</t>
  </si>
  <si>
    <t>Ascensores Lucero</t>
  </si>
  <si>
    <t/>
  </si>
  <si>
    <t>BRC</t>
  </si>
  <si>
    <t>Reparado</t>
  </si>
  <si>
    <t>Aceptado</t>
  </si>
  <si>
    <t>Diego</t>
  </si>
  <si>
    <t>OC</t>
  </si>
  <si>
    <t>AÑO DE REPARACIÓN</t>
  </si>
  <si>
    <t>AÑO DE ENTRADA</t>
  </si>
  <si>
    <t>AÑO DE ACEP</t>
  </si>
  <si>
    <t xml:space="preserve">MES FACTURACIÓN </t>
  </si>
  <si>
    <t>AÑO FACTURACIÓN</t>
  </si>
  <si>
    <t>FECHA DE ENTRADA</t>
  </si>
  <si>
    <t>CLIENTE</t>
  </si>
  <si>
    <t>SUCURSAL</t>
  </si>
  <si>
    <t>CLIENTE DE CLIENTE</t>
  </si>
  <si>
    <t>EQUIPO</t>
  </si>
  <si>
    <t>MARCA</t>
  </si>
  <si>
    <t>MODELO</t>
  </si>
  <si>
    <t>N SERIE</t>
  </si>
  <si>
    <t>AVISO</t>
  </si>
  <si>
    <t>FECHA DIAGNOSTICO</t>
  </si>
  <si>
    <t>FECHA ACEPTACION</t>
  </si>
  <si>
    <t>PRECIO DOLAR</t>
  </si>
  <si>
    <t>PRECIO PESO</t>
  </si>
  <si>
    <t>ESTADO FISICO</t>
  </si>
  <si>
    <t>ESTADO TECNICO</t>
  </si>
  <si>
    <t>ESTADO COMERCIAL</t>
  </si>
  <si>
    <t>PAGO</t>
  </si>
  <si>
    <t>TECNICO</t>
  </si>
  <si>
    <t>REMITO</t>
  </si>
  <si>
    <t>VENTA</t>
  </si>
  <si>
    <t>SALDO</t>
  </si>
  <si>
    <t>FACTURA</t>
  </si>
  <si>
    <t>MES REP</t>
  </si>
  <si>
    <t>MES ENTR</t>
  </si>
  <si>
    <t>SALDO2</t>
  </si>
  <si>
    <t>PRESUPUESTO</t>
  </si>
  <si>
    <t xml:space="preserve">Diego </t>
  </si>
  <si>
    <t>Laura</t>
  </si>
  <si>
    <t>Sergio</t>
  </si>
  <si>
    <t>Luz Onelli</t>
  </si>
  <si>
    <t>Gastos  Var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</si>
  <si>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</si>
  <si>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</si>
  <si>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</si>
  <si>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</si>
  <si>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</si>
  <si>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</si>
  <si>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</si>
  <si>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</si>
  <si>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</si>
  <si>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</si>
  <si>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</si>
  <si>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</si>
  <si>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</si>
  <si>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ANUAL</t>
  </si>
  <si>
    <t>Monotributo + IIBB</t>
  </si>
  <si>
    <t>Facturacion</t>
  </si>
  <si>
    <t>Ganacia neta</t>
  </si>
  <si>
    <t>% costos fijos</t>
  </si>
  <si>
    <t>Dif GB-Fact</t>
  </si>
  <si>
    <t>Ganancia ELS</t>
  </si>
  <si>
    <t>Utilidad neta</t>
  </si>
  <si>
    <t>A COBRAR</t>
  </si>
  <si>
    <t>TOTAL REAL EN CAJA</t>
  </si>
  <si>
    <t>DIEFERENCIA CON CAJA BRC</t>
  </si>
  <si>
    <t>INVERTIDO</t>
  </si>
  <si>
    <t>INGRESO POR INVERSIÓN</t>
  </si>
  <si>
    <t>DÓLARES</t>
  </si>
  <si>
    <t>Mariel Celio</t>
  </si>
  <si>
    <t>Programador de Riego</t>
  </si>
  <si>
    <t>Gadnic</t>
  </si>
  <si>
    <t>AT 2000</t>
  </si>
  <si>
    <t>R70Z5</t>
  </si>
  <si>
    <t>Enviado</t>
  </si>
  <si>
    <t>Galcon</t>
  </si>
  <si>
    <t>9001D-C</t>
  </si>
  <si>
    <t>GM2529518</t>
  </si>
  <si>
    <t>9001BT</t>
  </si>
  <si>
    <t>NYMQG</t>
  </si>
  <si>
    <t>Central de arranque y transferencia automática</t>
  </si>
  <si>
    <t>Datakom</t>
  </si>
  <si>
    <t>DKG-207</t>
  </si>
  <si>
    <t>2602070172960</t>
  </si>
  <si>
    <t>Placa de caldera</t>
  </si>
  <si>
    <t>Baxi (Siemens)</t>
  </si>
  <si>
    <t>Slim ( LMU33.201E149)</t>
  </si>
  <si>
    <t>9777</t>
  </si>
  <si>
    <t>Placa Fuente de ascensor</t>
  </si>
  <si>
    <t>Automac</t>
  </si>
  <si>
    <t>A6210</t>
  </si>
  <si>
    <t>A7422A</t>
  </si>
  <si>
    <t>Caldaia</t>
  </si>
  <si>
    <t>E312264 (TOP digital Sa26F)</t>
  </si>
  <si>
    <t>65E7Q</t>
  </si>
  <si>
    <t>A la Espera de Aceptación</t>
  </si>
  <si>
    <t>Privatel</t>
  </si>
  <si>
    <t>Cargador de baterías( 220vac - 12V/50A)</t>
  </si>
  <si>
    <t>HT SA</t>
  </si>
  <si>
    <t>CB-FL-12/750-50-D</t>
  </si>
  <si>
    <t>JOG9S</t>
  </si>
  <si>
    <t xml:space="preserve">Stec Climatización </t>
  </si>
  <si>
    <t>Genius M30 (11600011)</t>
  </si>
  <si>
    <t>PV6YG</t>
  </si>
  <si>
    <t>Inverter 48vdc / 220vac - 5000W</t>
  </si>
  <si>
    <t>Enertik</t>
  </si>
  <si>
    <t>INVERTER5KW</t>
  </si>
  <si>
    <t>92932011101828</t>
  </si>
  <si>
    <t>2602070124518</t>
  </si>
  <si>
    <t>MDP</t>
  </si>
  <si>
    <t>Micro-Ohmmetro</t>
  </si>
  <si>
    <t>Megabras</t>
  </si>
  <si>
    <t>MPK-253</t>
  </si>
  <si>
    <t>OA2098J</t>
  </si>
  <si>
    <t>Microondas + Grill + Convector</t>
  </si>
  <si>
    <t>Medion</t>
  </si>
  <si>
    <t>MD11711</t>
  </si>
  <si>
    <t>0076/08</t>
  </si>
  <si>
    <t>Camuzzi GAS + Agua</t>
  </si>
  <si>
    <t>Alquiler+exp+Muni</t>
  </si>
  <si>
    <t>MES DE ACEP</t>
  </si>
  <si>
    <t>EQUIPOS 2023 COBRADOS EN 2024</t>
  </si>
  <si>
    <t>Variador de velocidad 30 HP</t>
  </si>
  <si>
    <t>Telemecanique</t>
  </si>
  <si>
    <t>ATV58HD33N4</t>
  </si>
  <si>
    <t>6W0335000005B</t>
  </si>
  <si>
    <t>En Reparación</t>
  </si>
  <si>
    <t>Huilque SRL</t>
  </si>
  <si>
    <t>Horno Convector trifásico 6,25KW</t>
  </si>
  <si>
    <t>Pauna</t>
  </si>
  <si>
    <t>Beta 107I</t>
  </si>
  <si>
    <t>4580</t>
  </si>
  <si>
    <t>Sin revisar</t>
  </si>
  <si>
    <t>Ascensores Bariloche</t>
  </si>
  <si>
    <t>Operador de Puerta</t>
  </si>
  <si>
    <t>Fermator</t>
  </si>
  <si>
    <t>VVVF4+</t>
  </si>
  <si>
    <t>11/42739</t>
  </si>
  <si>
    <t>Teclado de música</t>
  </si>
  <si>
    <t>Casio</t>
  </si>
  <si>
    <t>CTK-230</t>
  </si>
  <si>
    <t>6369621</t>
  </si>
  <si>
    <t>CAJA AÑO ANTERIOR</t>
  </si>
  <si>
    <t>No Aceptaron Reparación</t>
  </si>
  <si>
    <t>NO Aceptado</t>
  </si>
  <si>
    <t>Andrés Gallardo (X28)</t>
  </si>
  <si>
    <t>DVR 8CH</t>
  </si>
  <si>
    <t>HIKVISION</t>
  </si>
  <si>
    <t>DS-7208HGHI-SHSE</t>
  </si>
  <si>
    <t>496010329</t>
  </si>
  <si>
    <t>BaxiRoca</t>
  </si>
  <si>
    <t>Laura 35/35TH</t>
  </si>
  <si>
    <t>42,062,03</t>
  </si>
  <si>
    <t>42,062,02</t>
  </si>
  <si>
    <t>Asociación Club Los Pehuenes</t>
  </si>
  <si>
    <t>Detector de Huella</t>
  </si>
  <si>
    <t>ZKTECO</t>
  </si>
  <si>
    <t>K20-ID-SSR-V2</t>
  </si>
  <si>
    <t>3157153200136</t>
  </si>
  <si>
    <t>Distribuidora Patagonia</t>
  </si>
  <si>
    <t>Notebook</t>
  </si>
  <si>
    <t>Samsung</t>
  </si>
  <si>
    <t>NP300E5C</t>
  </si>
  <si>
    <t>BA68-08754A</t>
  </si>
  <si>
    <t>5850</t>
  </si>
  <si>
    <t>Variador de velocidad 10HP</t>
  </si>
  <si>
    <t>ATV31HU75N4</t>
  </si>
  <si>
    <t>8B0931411132</t>
  </si>
  <si>
    <t>Freidora Industrial 8L</t>
  </si>
  <si>
    <t>Ind. Arg</t>
  </si>
  <si>
    <t>8L</t>
  </si>
  <si>
    <t>IAD5Y</t>
  </si>
  <si>
    <t>Ind. Arg.</t>
  </si>
  <si>
    <t>E1N6T</t>
  </si>
  <si>
    <t>Impresora</t>
  </si>
  <si>
    <t>Brother</t>
  </si>
  <si>
    <t>DCP-T300</t>
  </si>
  <si>
    <t>KQSOI</t>
  </si>
  <si>
    <t>IPATEC</t>
  </si>
  <si>
    <t>Sistema de elaboración de cerveza eléctrico</t>
  </si>
  <si>
    <t>Robobrew</t>
  </si>
  <si>
    <t>008695</t>
  </si>
  <si>
    <t>9337310008695</t>
  </si>
  <si>
    <t>Hugo</t>
  </si>
  <si>
    <t>Soldadora inverter 200A</t>
  </si>
  <si>
    <t>ESAB</t>
  </si>
  <si>
    <t>LHN 240i Plus</t>
  </si>
  <si>
    <t>R9KTD</t>
  </si>
  <si>
    <t>Jose Luis (Privatel)</t>
  </si>
  <si>
    <t>TV LCD 32</t>
  </si>
  <si>
    <t>LN32B530P7R</t>
  </si>
  <si>
    <t>AZXT3CPS600005W</t>
  </si>
  <si>
    <t>Ariel Lotito</t>
  </si>
  <si>
    <t>Ariston</t>
  </si>
  <si>
    <t>AMPC-GAL1 MCU STD MED FF</t>
  </si>
  <si>
    <t>1709066A0178</t>
  </si>
  <si>
    <t>Impresora Laser</t>
  </si>
  <si>
    <t>HL-1212W</t>
  </si>
  <si>
    <t>U63982F8N692142</t>
  </si>
  <si>
    <t>5942</t>
  </si>
  <si>
    <t>Alma Del Lago (Almasur S.A.)</t>
  </si>
  <si>
    <t>Placa de ascensor</t>
  </si>
  <si>
    <t>A6220v4</t>
  </si>
  <si>
    <t>199221020</t>
  </si>
  <si>
    <t>Leandro Slosel</t>
  </si>
  <si>
    <t>Sistema de control de Jacuzzi</t>
  </si>
  <si>
    <t>Balboa</t>
  </si>
  <si>
    <t>GL2001M3</t>
  </si>
  <si>
    <t>55216-031106160001</t>
  </si>
  <si>
    <t>Inverter 12vdc / 220vac - 600W</t>
  </si>
  <si>
    <t>IE-600-12</t>
  </si>
  <si>
    <t>E05Q026</t>
  </si>
  <si>
    <t>Cargador de baterías</t>
  </si>
  <si>
    <t>Makita</t>
  </si>
  <si>
    <t>DC18RA</t>
  </si>
  <si>
    <t>V3C1L</t>
  </si>
  <si>
    <t>Mamuschka SRL</t>
  </si>
  <si>
    <t>Placa de unidad exterior multisplit</t>
  </si>
  <si>
    <t>Mitsubishi</t>
  </si>
  <si>
    <t>INV20Y-BOARD KE76B5INV20Y-BOARD KE76B564G0264G02</t>
  </si>
  <si>
    <t>160112B</t>
  </si>
  <si>
    <t>Abuelo Ian</t>
  </si>
  <si>
    <t>Motor de portón eléctrico</t>
  </si>
  <si>
    <t>Central Tem</t>
  </si>
  <si>
    <t>PCI 0106/2</t>
  </si>
  <si>
    <t>K371U</t>
  </si>
  <si>
    <t>Nicolás (Placas Lav_Sec ropas)</t>
  </si>
  <si>
    <t>Placa de Lavarropas Next Eco</t>
  </si>
  <si>
    <t>Drean</t>
  </si>
  <si>
    <t>772204100</t>
  </si>
  <si>
    <t>3009162</t>
  </si>
  <si>
    <t>Placa de Secarropas ASL70C</t>
  </si>
  <si>
    <t>LT C126</t>
  </si>
  <si>
    <t>0639</t>
  </si>
  <si>
    <t>Baby monitor</t>
  </si>
  <si>
    <t>Philips</t>
  </si>
  <si>
    <t>scd501</t>
  </si>
  <si>
    <t>GC2TK</t>
  </si>
  <si>
    <t>Multifuncion Laser</t>
  </si>
  <si>
    <t>Sharp</t>
  </si>
  <si>
    <t>AL-2020</t>
  </si>
  <si>
    <t>85051196</t>
  </si>
  <si>
    <t>QUASAR INFORMATICA SA</t>
  </si>
  <si>
    <t>Cargador Automático Inteligente 12V 15A</t>
  </si>
  <si>
    <t>IC-15-12</t>
  </si>
  <si>
    <t>1L129</t>
  </si>
  <si>
    <t>Cargador de Baterias 220VAC  - 48V/20A</t>
  </si>
  <si>
    <t>Melex</t>
  </si>
  <si>
    <t>M4820</t>
  </si>
  <si>
    <t>3052</t>
  </si>
  <si>
    <t>Smart TV 65"</t>
  </si>
  <si>
    <t>65PUD6794/77</t>
  </si>
  <si>
    <t>ZA1A2040005413</t>
  </si>
  <si>
    <t>Rolando Soldadora MIG-MAG</t>
  </si>
  <si>
    <t>Cargador de Batería 12v 20A</t>
  </si>
  <si>
    <t>EC-20-12</t>
  </si>
  <si>
    <t>EC2012S063</t>
  </si>
  <si>
    <t>Variador de velocidad 7A</t>
  </si>
  <si>
    <t>Weg</t>
  </si>
  <si>
    <t>CFW500A07P0S2N</t>
  </si>
  <si>
    <t>7909018028743</t>
  </si>
  <si>
    <t>Aguirre (Inversor Enertik)</t>
  </si>
  <si>
    <t>Invereter 5KW</t>
  </si>
  <si>
    <t>ICB-5K-48</t>
  </si>
  <si>
    <t>92931911100882</t>
  </si>
  <si>
    <t>BT2M-HS MI/FFI MICRO (Microtec)</t>
  </si>
  <si>
    <t>2406032V2177</t>
  </si>
  <si>
    <t>Daniel Calderísta</t>
  </si>
  <si>
    <t>E321060 (TOP a perilla)</t>
  </si>
  <si>
    <t>DZSNF</t>
  </si>
  <si>
    <t>Placa de caldera de condensación</t>
  </si>
  <si>
    <t>GAL-EVO2 SE ENTRY ( MATIS )</t>
  </si>
  <si>
    <t>LM2021220435</t>
  </si>
  <si>
    <t>Jonathan Chacón</t>
  </si>
  <si>
    <t>BS II (GAL2-UNI LOW-TIER FF CN)</t>
  </si>
  <si>
    <t>301116GI2552</t>
  </si>
  <si>
    <t>H1U6J</t>
  </si>
  <si>
    <t>Gerardo (Caldera Pina)</t>
  </si>
  <si>
    <t>Baxi</t>
  </si>
  <si>
    <t>Mainfour 24 (CS0261F)</t>
  </si>
  <si>
    <t>00870</t>
  </si>
  <si>
    <t>Placa main de impresora</t>
  </si>
  <si>
    <t>HP</t>
  </si>
  <si>
    <t>CF427-60001</t>
  </si>
  <si>
    <t>YJ120KG</t>
  </si>
  <si>
    <t>MainFour 24 (CS0263C)</t>
  </si>
  <si>
    <t>5101141009</t>
  </si>
  <si>
    <t>eco 240 Fi (ECO 240 Fi)</t>
  </si>
  <si>
    <t>56.5389.1</t>
  </si>
  <si>
    <t>Microcombi (CMP-BT-TEC HS)</t>
  </si>
  <si>
    <t>060102901323</t>
  </si>
  <si>
    <t>Concejo Municipal de Bariloche</t>
  </si>
  <si>
    <t>Rehau</t>
  </si>
  <si>
    <t>Antea 24 (CE-0051BS3297)</t>
  </si>
  <si>
    <t>5016</t>
  </si>
  <si>
    <t>Facundo</t>
  </si>
  <si>
    <t>Placa de calefactor por aire</t>
  </si>
  <si>
    <t>Westric (Multicontrol)</t>
  </si>
  <si>
    <t>CG-050-GAC1ANS(CC710A-V1,0</t>
  </si>
  <si>
    <t>54-1139-04</t>
  </si>
  <si>
    <t>Javier</t>
  </si>
  <si>
    <t>TV LED 39"</t>
  </si>
  <si>
    <t>39PFG4109 77</t>
  </si>
  <si>
    <t>ZA1A1449002884</t>
  </si>
  <si>
    <t>Sin Reparación</t>
  </si>
  <si>
    <t>80C27104</t>
  </si>
  <si>
    <t>Fuente de alimentación</t>
  </si>
  <si>
    <t>General Electric</t>
  </si>
  <si>
    <t>DS3820PSCB1C1B</t>
  </si>
  <si>
    <t>R24165</t>
  </si>
  <si>
    <t>Placa CPU  HMPJ</t>
  </si>
  <si>
    <t>DS3800HMPJ1A1D</t>
  </si>
  <si>
    <t>0A37A4</t>
  </si>
  <si>
    <t>Ariel (Placa lavarropas)</t>
  </si>
  <si>
    <t>Placa de Lavarropas</t>
  </si>
  <si>
    <t>Appliance Control</t>
  </si>
  <si>
    <t>7722001000</t>
  </si>
  <si>
    <t>529164401293</t>
  </si>
  <si>
    <t>Sin Falla</t>
  </si>
  <si>
    <t>Genius S30 (11600011)</t>
  </si>
  <si>
    <t>DD3V5</t>
  </si>
  <si>
    <t>Neobit Plus (Baxi)</t>
  </si>
  <si>
    <t>Aequator(CS0261F)</t>
  </si>
  <si>
    <t>50056809-001</t>
  </si>
  <si>
    <t>Programador De Llama + bastidor y placa conectores</t>
  </si>
  <si>
    <t>Sit</t>
  </si>
  <si>
    <t>537 ABC</t>
  </si>
  <si>
    <t>17-37-0593</t>
  </si>
  <si>
    <t>Elvis</t>
  </si>
  <si>
    <t>Candy</t>
  </si>
  <si>
    <t>Vita Smart Cvst 810 T(E41052140)</t>
  </si>
  <si>
    <t>41045072</t>
  </si>
  <si>
    <t>Megared</t>
  </si>
  <si>
    <t>PINC-48-5000-OFF-PWM-S</t>
  </si>
  <si>
    <t>92931905104952</t>
  </si>
  <si>
    <t>Coarco BRC</t>
  </si>
  <si>
    <t>Panel de control</t>
  </si>
  <si>
    <t>Olympian</t>
  </si>
  <si>
    <t>Power wizard 1.1 (449-2590-00)</t>
  </si>
  <si>
    <t>1044E724TZ</t>
  </si>
  <si>
    <t>23740</t>
  </si>
  <si>
    <t>C.U.B.A Sede Cerro Catedral</t>
  </si>
  <si>
    <t>Estabilizador de tensión 3000W</t>
  </si>
  <si>
    <t>Lyonn</t>
  </si>
  <si>
    <t>TCA-3000NV</t>
  </si>
  <si>
    <t>918316069300210</t>
  </si>
  <si>
    <t>25477</t>
  </si>
  <si>
    <t>A7422B</t>
  </si>
  <si>
    <t>Controlador de caldera eléctrica</t>
  </si>
  <si>
    <t>Peisa</t>
  </si>
  <si>
    <t>EKCO.LN2</t>
  </si>
  <si>
    <t>01-2016</t>
  </si>
  <si>
    <t>Connie Santana</t>
  </si>
  <si>
    <t>UPS 800W</t>
  </si>
  <si>
    <t>Kaise</t>
  </si>
  <si>
    <t>micro800</t>
  </si>
  <si>
    <t>3100127277D20711300344</t>
  </si>
  <si>
    <t>Ventilador de caldera de condensación</t>
  </si>
  <si>
    <t>NG40</t>
  </si>
  <si>
    <t>195224</t>
  </si>
  <si>
    <t>Placas controladoras de Horno convector</t>
  </si>
  <si>
    <t>Brafh</t>
  </si>
  <si>
    <t>HC-820</t>
  </si>
  <si>
    <t>GAPSR</t>
  </si>
  <si>
    <t>4IT4B</t>
  </si>
  <si>
    <t>Convertec-Energías Renovables Bariloche</t>
  </si>
  <si>
    <t>Inversor / Cargador Solar 1KW</t>
  </si>
  <si>
    <t>Must</t>
  </si>
  <si>
    <t>PV18-1012 VPM</t>
  </si>
  <si>
    <t>VPV181012202103270117</t>
  </si>
  <si>
    <t>Patagonia Clima SAS</t>
  </si>
  <si>
    <t>100-02</t>
  </si>
  <si>
    <t>12517-000OB</t>
  </si>
  <si>
    <t>UPS + Inversor + Cargador</t>
  </si>
  <si>
    <t>Energit</t>
  </si>
  <si>
    <t>UPS-POWER SINE 1500-12</t>
  </si>
  <si>
    <t>EP30001512C201705140009</t>
  </si>
  <si>
    <t>Maxi (Servicios Carlitos)</t>
  </si>
  <si>
    <t>Smart TV 49"</t>
  </si>
  <si>
    <t>Skyworth</t>
  </si>
  <si>
    <t>SW49S6SUG</t>
  </si>
  <si>
    <t>18-99005165-L1</t>
  </si>
  <si>
    <t>Amplificador de audio</t>
  </si>
  <si>
    <t>SKP</t>
  </si>
  <si>
    <t>MAX-320</t>
  </si>
  <si>
    <t>07241400458</t>
  </si>
  <si>
    <t>Placa de Caldera + display</t>
  </si>
  <si>
    <t>BGL 188 - PR00705 V1.5</t>
  </si>
  <si>
    <t>141209657/2022/02/11</t>
  </si>
  <si>
    <t>Panel de Unidad de transferencia automática</t>
  </si>
  <si>
    <t>GenParts TSI</t>
  </si>
  <si>
    <t>A52Z2-H</t>
  </si>
  <si>
    <t>2007A 2140</t>
  </si>
  <si>
    <t>Hotel Llao Llao</t>
  </si>
  <si>
    <t>LS</t>
  </si>
  <si>
    <t>SV075iS5-4NO</t>
  </si>
  <si>
    <t>61110006W0</t>
  </si>
  <si>
    <t>Placa de Caldera</t>
  </si>
  <si>
    <t>LP29B</t>
  </si>
  <si>
    <t>José Groznik</t>
  </si>
  <si>
    <t>Hidromotor</t>
  </si>
  <si>
    <t>TK10901C</t>
  </si>
  <si>
    <t>05081364</t>
  </si>
  <si>
    <t>Colegio San Esteban Bariloche</t>
  </si>
  <si>
    <t>Soldadora inverter MIG</t>
  </si>
  <si>
    <t>Hugong Welder</t>
  </si>
  <si>
    <t>MIG 160</t>
  </si>
  <si>
    <t>1OPAV</t>
  </si>
  <si>
    <t>Christian Steverlynck</t>
  </si>
  <si>
    <t>EC2012S076</t>
  </si>
  <si>
    <t>Cerradura electromagnética</t>
  </si>
  <si>
    <t>Zuden</t>
  </si>
  <si>
    <t>ZDL-280</t>
  </si>
  <si>
    <t>334526</t>
  </si>
  <si>
    <t>Arturo Ruiz (Comallo)</t>
  </si>
  <si>
    <t>Probattery</t>
  </si>
  <si>
    <t>FI-600/12-CPB</t>
  </si>
  <si>
    <t>18D02821</t>
  </si>
  <si>
    <t>Inverter 12vdc / 220vac - 500W</t>
  </si>
  <si>
    <t>FIOP-500/12V-LI</t>
  </si>
  <si>
    <t>2350868ARPB</t>
  </si>
  <si>
    <t>Climatizador de piscinas</t>
  </si>
  <si>
    <t>T80</t>
  </si>
  <si>
    <t>Y05W26L154CE124</t>
  </si>
  <si>
    <t>Hugo (Soldadora Inverter)</t>
  </si>
  <si>
    <t>Lincoln</t>
  </si>
  <si>
    <t>Discovery 225</t>
  </si>
  <si>
    <t>DYA26</t>
  </si>
  <si>
    <t>BGL 188</t>
  </si>
  <si>
    <t>153400409</t>
  </si>
  <si>
    <t>E4XX7</t>
  </si>
  <si>
    <t>Esteban (Smart 32)</t>
  </si>
  <si>
    <t>Smart TV 32"</t>
  </si>
  <si>
    <t>Hitachi</t>
  </si>
  <si>
    <t>CDH-LE32SMART17</t>
  </si>
  <si>
    <t>RF1003413086728</t>
  </si>
  <si>
    <t>Rack controlador de maquina de chocolate</t>
  </si>
  <si>
    <t>Trikno</t>
  </si>
  <si>
    <t>KCM ALPHA 12-24-35</t>
  </si>
  <si>
    <t>DPPHZ</t>
  </si>
  <si>
    <t>5/43424</t>
  </si>
  <si>
    <t>Portero Eléctrico</t>
  </si>
  <si>
    <t>Hyundai Telecom</t>
  </si>
  <si>
    <t>HDP-200</t>
  </si>
  <si>
    <t>HK 16100465</t>
  </si>
  <si>
    <t>Mery (soldadora Dogo)</t>
  </si>
  <si>
    <t xml:space="preserve">Soldadora inverter </t>
  </si>
  <si>
    <t>Dogo</t>
  </si>
  <si>
    <t>DogoStar105</t>
  </si>
  <si>
    <t>VC7IC</t>
  </si>
  <si>
    <t>Estabilizador trifásico</t>
  </si>
  <si>
    <t>Trifásico</t>
  </si>
  <si>
    <t>OZI7W</t>
  </si>
  <si>
    <t>Batería De Litio</t>
  </si>
  <si>
    <t>Growatt</t>
  </si>
  <si>
    <t>Hope 4.8l-c1 48v 4800wh 100ah</t>
  </si>
  <si>
    <t>ZJJ021952149031A</t>
  </si>
  <si>
    <t>Daniel (Placa Ariston)</t>
  </si>
  <si>
    <t>AMPC-GAL1 MCU STD MED FF CNW V2</t>
  </si>
  <si>
    <t>3108163L5472</t>
  </si>
  <si>
    <t>4X8HK</t>
  </si>
  <si>
    <t>Andrés Barresi</t>
  </si>
  <si>
    <t>Inversor / Cargador Solar 5KW</t>
  </si>
  <si>
    <t>PV18-5048MS</t>
  </si>
  <si>
    <t>RUNAF</t>
  </si>
  <si>
    <t>Pampa (Loma de la Lata)</t>
  </si>
  <si>
    <t>Placa fuente de cargador de baterías 110VCC</t>
  </si>
  <si>
    <t>Emerson</t>
  </si>
  <si>
    <t>UER 1033</t>
  </si>
  <si>
    <t>055</t>
  </si>
  <si>
    <t>23905</t>
  </si>
  <si>
    <t>Placa Interface Cargador de Baterías 110VDC</t>
  </si>
  <si>
    <t>CRL (6008348)</t>
  </si>
  <si>
    <t>042</t>
  </si>
  <si>
    <t>23906</t>
  </si>
  <si>
    <t>034</t>
  </si>
  <si>
    <t>23907</t>
  </si>
  <si>
    <t>001</t>
  </si>
  <si>
    <t>23908</t>
  </si>
  <si>
    <t>Placa de Mediciones de entrada</t>
  </si>
  <si>
    <t>UIF (6008358)</t>
  </si>
  <si>
    <t>20/2015</t>
  </si>
  <si>
    <t>23913</t>
  </si>
  <si>
    <t>Kniel</t>
  </si>
  <si>
    <t>EXWUI 30.50</t>
  </si>
  <si>
    <t>750-100-00 .13</t>
  </si>
  <si>
    <t>D5YGU</t>
  </si>
  <si>
    <t>Federíco (Soldadora)</t>
  </si>
  <si>
    <t>Soldadora inverter Tig</t>
  </si>
  <si>
    <t>Logus</t>
  </si>
  <si>
    <t>SLT-230</t>
  </si>
  <si>
    <t>8006-404a-181103555</t>
  </si>
  <si>
    <t>E05O195</t>
  </si>
  <si>
    <t>Servytec</t>
  </si>
  <si>
    <t>Placa principal Lavadora industrial</t>
  </si>
  <si>
    <t>Electrolux</t>
  </si>
  <si>
    <t>471898811 (E655)</t>
  </si>
  <si>
    <t>220 263-01 C</t>
  </si>
  <si>
    <t>3 Drivers Turbo Camioneta</t>
  </si>
  <si>
    <t>Toyota</t>
  </si>
  <si>
    <t>89879-71010</t>
  </si>
  <si>
    <t>OCM9L</t>
  </si>
  <si>
    <t>Impresora multifunción</t>
  </si>
  <si>
    <t>Epson</t>
  </si>
  <si>
    <t>L3150</t>
  </si>
  <si>
    <t>X7GQ002451</t>
  </si>
  <si>
    <t>6173</t>
  </si>
  <si>
    <t>Pampa Energía - Pichi Picún Leufú</t>
  </si>
  <si>
    <t>5 Time Counter</t>
  </si>
  <si>
    <t>Omron</t>
  </si>
  <si>
    <t>H7ET-FBV2</t>
  </si>
  <si>
    <t>V5OQ9</t>
  </si>
  <si>
    <t>23959</t>
  </si>
  <si>
    <t>Time Counter</t>
  </si>
  <si>
    <t>H7ET-B</t>
  </si>
  <si>
    <t>QDPXT</t>
  </si>
  <si>
    <t>23960</t>
  </si>
  <si>
    <t>8 Time Counter</t>
  </si>
  <si>
    <t>H7ET-FBV</t>
  </si>
  <si>
    <t>DEWGL</t>
  </si>
  <si>
    <t>23961</t>
  </si>
  <si>
    <t>Eugenio (Grupo Electrógeno)</t>
  </si>
  <si>
    <t>Panel de Grupo electrógeno</t>
  </si>
  <si>
    <t>Generac</t>
  </si>
  <si>
    <t>Evolution 2.0</t>
  </si>
  <si>
    <t>7004956</t>
  </si>
  <si>
    <t>Ezequiel (Grupo Electrógeno)</t>
  </si>
  <si>
    <t>UQH9S</t>
  </si>
  <si>
    <t>Leandro Suaréz</t>
  </si>
  <si>
    <t>Smart TV 65'</t>
  </si>
  <si>
    <t>LG</t>
  </si>
  <si>
    <t>65UJ6320</t>
  </si>
  <si>
    <t>804FUWB06681</t>
  </si>
  <si>
    <t>Daniel (Bari Clima)</t>
  </si>
  <si>
    <t>Hernán Calderas</t>
  </si>
  <si>
    <t>C4U3S</t>
  </si>
  <si>
    <t>Controlador Programable</t>
  </si>
  <si>
    <t>Reivax</t>
  </si>
  <si>
    <t>CPXCan 2.1</t>
  </si>
  <si>
    <t>120033</t>
  </si>
  <si>
    <t>24023</t>
  </si>
  <si>
    <t>SPF5000-ES</t>
  </si>
  <si>
    <t>RKG3B06098</t>
  </si>
  <si>
    <t>Gatillo sísmico triaxial</t>
  </si>
  <si>
    <t>Kinemetrics</t>
  </si>
  <si>
    <t>TS-3A</t>
  </si>
  <si>
    <t>D1CTN</t>
  </si>
  <si>
    <t>Namor (Soldadora inverter)</t>
  </si>
  <si>
    <t>Lusqtoff</t>
  </si>
  <si>
    <t>IRON-250</t>
  </si>
  <si>
    <t>60974-1</t>
  </si>
  <si>
    <t>15 sensores RSI-XXXAAC-420</t>
  </si>
  <si>
    <t>El toroide</t>
  </si>
  <si>
    <t>V8QU0</t>
  </si>
  <si>
    <t>Vendido</t>
  </si>
  <si>
    <t>1 sensor PSI-XXXAAC-420</t>
  </si>
  <si>
    <t>RUK13</t>
  </si>
  <si>
    <t>Daniela (TV Hisense)</t>
  </si>
  <si>
    <t>TV LED 32'</t>
  </si>
  <si>
    <t>Hisense</t>
  </si>
  <si>
    <t>HLE3214RT</t>
  </si>
  <si>
    <t>334EB32016</t>
  </si>
  <si>
    <t>Martín Federico Sosa</t>
  </si>
  <si>
    <t>TTKZC</t>
  </si>
  <si>
    <t>2 Resistencias cerámicas 22 Ohms 20W</t>
  </si>
  <si>
    <t>22 OHMS 20W</t>
  </si>
  <si>
    <t>33LDR</t>
  </si>
  <si>
    <t>17-26-0170</t>
  </si>
  <si>
    <t>Ferroli</t>
  </si>
  <si>
    <t>Fortuna 24</t>
  </si>
  <si>
    <t>1745044724</t>
  </si>
  <si>
    <t>Carlos Zabala</t>
  </si>
  <si>
    <t>Display de caldera BGL188</t>
  </si>
  <si>
    <t>HDLED V1.4</t>
  </si>
  <si>
    <t>110113</t>
  </si>
  <si>
    <t>Blitz</t>
  </si>
  <si>
    <t>MMA-185</t>
  </si>
  <si>
    <t>EN60974-1</t>
  </si>
  <si>
    <t>330871-0</t>
  </si>
  <si>
    <t>24083</t>
  </si>
  <si>
    <t>320875-0</t>
  </si>
  <si>
    <t>24084</t>
  </si>
  <si>
    <t>Inverter 24vdc / 220vac - 3000W</t>
  </si>
  <si>
    <t>Voltronic</t>
  </si>
  <si>
    <t>VM-3000</t>
  </si>
  <si>
    <t>92332211100636</t>
  </si>
  <si>
    <t>Joaquín</t>
  </si>
  <si>
    <t>ECO NOVA 24F (CS0301C)</t>
  </si>
  <si>
    <t>50067240-003</t>
  </si>
  <si>
    <t xml:space="preserve">Placa de Caldera </t>
  </si>
  <si>
    <t>WTNY2</t>
  </si>
  <si>
    <t>Torres (2do 1)</t>
  </si>
  <si>
    <t>TV LED 50´</t>
  </si>
  <si>
    <t>UN50F5000AG</t>
  </si>
  <si>
    <t>C23K38QF301087X</t>
  </si>
  <si>
    <t>AMPC-GAL1 MCU STD ENTRY</t>
  </si>
  <si>
    <t>660050026601</t>
  </si>
  <si>
    <t>Federico Herrera</t>
  </si>
  <si>
    <t>SPF3000TL HVM-24</t>
  </si>
  <si>
    <t>AXE7A220FE</t>
  </si>
  <si>
    <t>Control de Maniobra</t>
  </si>
  <si>
    <t>A6300</t>
  </si>
  <si>
    <t>LUW9H</t>
  </si>
  <si>
    <t>ERDESA SRL (Lavadero Bariloche)</t>
  </si>
  <si>
    <t>Variador de velocidad 15KW</t>
  </si>
  <si>
    <t>Siemens</t>
  </si>
  <si>
    <t>6SE6440-2UD31-5DA1</t>
  </si>
  <si>
    <t>T-A21662000087</t>
  </si>
  <si>
    <t>Malvina Gallardo</t>
  </si>
  <si>
    <t>Inversor 3 KW</t>
  </si>
  <si>
    <t>LTC Electronics</t>
  </si>
  <si>
    <t>P3000-12</t>
  </si>
  <si>
    <t>CMU20</t>
  </si>
  <si>
    <t>UWOYQ</t>
  </si>
  <si>
    <t>Panel Simatic Touch</t>
  </si>
  <si>
    <t>6AV2124-0QC02-0AX0</t>
  </si>
  <si>
    <t>C-F8B38824</t>
  </si>
  <si>
    <t>Diego (Cargador Motocaddy)</t>
  </si>
  <si>
    <t>Cargador de Batería 33,2v 2A</t>
  </si>
  <si>
    <t>Motocaddy</t>
  </si>
  <si>
    <t>LC-2323</t>
  </si>
  <si>
    <t>XUAZ8</t>
  </si>
  <si>
    <t>1803315388</t>
  </si>
  <si>
    <t>PTD8M</t>
  </si>
  <si>
    <t>1/66495</t>
  </si>
  <si>
    <t>A6300V4</t>
  </si>
  <si>
    <t>45142</t>
  </si>
  <si>
    <t>Lisandro (Patagonia Bags)</t>
  </si>
  <si>
    <t>Variador de velocidad 0.75kW</t>
  </si>
  <si>
    <t>GTAKE</t>
  </si>
  <si>
    <t>GK150-2T0.75</t>
  </si>
  <si>
    <t>EB0007G1MH03859-23</t>
  </si>
  <si>
    <t>HAGC27-SM02</t>
  </si>
  <si>
    <t>6324930C</t>
  </si>
  <si>
    <t>P140528-37510071</t>
  </si>
  <si>
    <t>Adriana (Placa clasera)</t>
  </si>
  <si>
    <t>6YKG8</t>
  </si>
  <si>
    <t>Jorge (Frigobar)</t>
  </si>
  <si>
    <t>Frigobar</t>
  </si>
  <si>
    <t>Coolbrand</t>
  </si>
  <si>
    <t>BC50B</t>
  </si>
  <si>
    <t>150722</t>
  </si>
  <si>
    <t>Fuente 230VAC / 24VCC - 5A</t>
  </si>
  <si>
    <t>Finder</t>
  </si>
  <si>
    <t>78.1C.1.230.2404</t>
  </si>
  <si>
    <t>1YWWL</t>
  </si>
  <si>
    <t>Gustavo Calderas</t>
  </si>
  <si>
    <t>IRON-100</t>
  </si>
  <si>
    <t>Emiliano</t>
  </si>
  <si>
    <t>Reflector Led 144W S spectrum</t>
  </si>
  <si>
    <t>Ciclocultivo</t>
  </si>
  <si>
    <t>L144</t>
  </si>
  <si>
    <t>L144U0221032</t>
  </si>
  <si>
    <t>Reflector Led 288W S spectrum</t>
  </si>
  <si>
    <t>Agroled</t>
  </si>
  <si>
    <t>TL6-CL</t>
  </si>
  <si>
    <t>C7QYN</t>
  </si>
  <si>
    <t>1651011525</t>
  </si>
  <si>
    <t>Controlador de llama</t>
  </si>
  <si>
    <t>Brahma</t>
  </si>
  <si>
    <t>37010010 FM11</t>
  </si>
  <si>
    <t>13-07</t>
  </si>
  <si>
    <t>Switch 10/100 De 16 Puertos</t>
  </si>
  <si>
    <t>Microtec</t>
  </si>
  <si>
    <t>SP616R</t>
  </si>
  <si>
    <t>J4712074</t>
  </si>
  <si>
    <t>Controlador de motor 2,5 kW</t>
  </si>
  <si>
    <t>Winterhalter</t>
  </si>
  <si>
    <t>30002834 (769136-09)</t>
  </si>
  <si>
    <t>220713</t>
  </si>
  <si>
    <t>Variador de velocidad 7.5kW</t>
  </si>
  <si>
    <t>Suzhou Inovance Technology</t>
  </si>
  <si>
    <t>MD290T7.5G/11PB</t>
  </si>
  <si>
    <t>0101AA104N900048</t>
  </si>
  <si>
    <t>DEL TURISTA</t>
  </si>
  <si>
    <t>UPS 3.6KW</t>
  </si>
  <si>
    <t>Toshiba</t>
  </si>
  <si>
    <t>1400XL PLUS</t>
  </si>
  <si>
    <t>97203101</t>
  </si>
  <si>
    <t>Controlador de carga MPPT</t>
  </si>
  <si>
    <t>PC18-8015F</t>
  </si>
  <si>
    <t>PC18008015F2020111600023</t>
  </si>
  <si>
    <t>SMRVM</t>
  </si>
  <si>
    <t>Inversor híbrido trifásico 10KW</t>
  </si>
  <si>
    <t>HGI-10K-48</t>
  </si>
  <si>
    <t>96161811100076</t>
  </si>
  <si>
    <t>Camila Frabre León</t>
  </si>
  <si>
    <t>132020</t>
  </si>
  <si>
    <t>CP40</t>
  </si>
  <si>
    <t>VRVNV</t>
  </si>
  <si>
    <t>Leonardo (Gimnasios Neuquén)</t>
  </si>
  <si>
    <t>Variador de velocidad 2.2 kW</t>
  </si>
  <si>
    <t>6SL3211-0AB22-2UA1</t>
  </si>
  <si>
    <t>XAU613-002026</t>
  </si>
  <si>
    <t>Variador de velocidad 2.2kW</t>
  </si>
  <si>
    <t>XAU607-002431</t>
  </si>
  <si>
    <t>Ascensores Patagonia</t>
  </si>
  <si>
    <t>ATV58HD12N4</t>
  </si>
  <si>
    <t>0307000937</t>
  </si>
  <si>
    <t>A6700v2</t>
  </si>
  <si>
    <t>67V2C243315216</t>
  </si>
  <si>
    <t>37AAZ</t>
  </si>
  <si>
    <t>153400514</t>
  </si>
  <si>
    <t>YHR5X</t>
  </si>
  <si>
    <t>Xerox</t>
  </si>
  <si>
    <t>Phaser 3260</t>
  </si>
  <si>
    <t>3380490926</t>
  </si>
  <si>
    <t>John</t>
  </si>
  <si>
    <t>UPS 800 VA</t>
  </si>
  <si>
    <t>APS</t>
  </si>
  <si>
    <t>BV800I-AR</t>
  </si>
  <si>
    <t>9B2143A15558</t>
  </si>
  <si>
    <t>3 Cafeteras Eléctricas de uso comercial</t>
  </si>
  <si>
    <t>Zokin</t>
  </si>
  <si>
    <t>ZJ-150 / 200</t>
  </si>
  <si>
    <t>9K52M</t>
  </si>
  <si>
    <t>Infusionador eléctrico 13,6 lts</t>
  </si>
  <si>
    <t>Sikla</t>
  </si>
  <si>
    <t>CP-16</t>
  </si>
  <si>
    <t>4UA60</t>
  </si>
  <si>
    <t>Placa Controladora de turbina</t>
  </si>
  <si>
    <t>Ebmpapst</t>
  </si>
  <si>
    <t>RG148/1200-3633-010204</t>
  </si>
  <si>
    <t>55667.01691</t>
  </si>
  <si>
    <t>Immergas</t>
  </si>
  <si>
    <t>DIMS09-IM03 (EOLO STAR 24 4E)</t>
  </si>
  <si>
    <t>151220VL2033</t>
  </si>
  <si>
    <t>Héctor Vázquez</t>
  </si>
  <si>
    <t>Variador de velocidad 6,5A</t>
  </si>
  <si>
    <t>CFW080065T3848S0A5Z</t>
  </si>
  <si>
    <t>894171754199</t>
  </si>
  <si>
    <t>92931911100886</t>
  </si>
  <si>
    <t>Placa controladora de turbina</t>
  </si>
  <si>
    <t>Osvaldo</t>
  </si>
  <si>
    <t>Admiral</t>
  </si>
  <si>
    <t>AD32E20</t>
  </si>
  <si>
    <t>QAYADEFN70011E</t>
  </si>
  <si>
    <t>0352000227</t>
  </si>
  <si>
    <t>María Fernanda Bari</t>
  </si>
  <si>
    <t>Smart TV 43"</t>
  </si>
  <si>
    <t>CDH-LE43SMART08</t>
  </si>
  <si>
    <t>RF1001085894886</t>
  </si>
  <si>
    <t>Control de Ignición (Caldera Roca/Baxi G200 Confort)</t>
  </si>
  <si>
    <t>Honeywell</t>
  </si>
  <si>
    <t>S4565AD 1017</t>
  </si>
  <si>
    <t>S85L1</t>
  </si>
  <si>
    <t>Marcelo (Aguas Claras)</t>
  </si>
  <si>
    <t>Generador Solar Integrado</t>
  </si>
  <si>
    <t>Fiasa</t>
  </si>
  <si>
    <t>F1000</t>
  </si>
  <si>
    <t>X45WL</t>
  </si>
  <si>
    <t>Ariel (Soldadoras)</t>
  </si>
  <si>
    <t>Kroner</t>
  </si>
  <si>
    <t>H107</t>
  </si>
  <si>
    <t>PKBR0</t>
  </si>
  <si>
    <t>Soldadora inverter MMA/TIG 300A</t>
  </si>
  <si>
    <t>Fligman</t>
  </si>
  <si>
    <t>Heavy dual 300</t>
  </si>
  <si>
    <t>5ZDKE</t>
  </si>
  <si>
    <t>92931903101708</t>
  </si>
  <si>
    <t>SEG</t>
  </si>
  <si>
    <t>TSI Residencial</t>
  </si>
  <si>
    <t>BZ0T2</t>
  </si>
  <si>
    <t>8/99178</t>
  </si>
  <si>
    <t>Limitador de peso</t>
  </si>
  <si>
    <t>Avaxon</t>
  </si>
  <si>
    <t>Justo</t>
  </si>
  <si>
    <t>XFETK</t>
  </si>
  <si>
    <t>Microondas 20 l 800W</t>
  </si>
  <si>
    <t>Thomas</t>
  </si>
  <si>
    <t>TH-20DM</t>
  </si>
  <si>
    <t>U5512072273</t>
  </si>
  <si>
    <t>Hugo (Inversor Belttt)</t>
  </si>
  <si>
    <t>Inverter 12vdc / 220vac -1000W</t>
  </si>
  <si>
    <t>Belttt</t>
  </si>
  <si>
    <t>BEP1000S12V</t>
  </si>
  <si>
    <t>DD7G202108231113605</t>
  </si>
  <si>
    <t>SPF5000TL HVM</t>
  </si>
  <si>
    <t>XJDAA2607Q</t>
  </si>
  <si>
    <t>Tablero deportivo + controlador + fuente</t>
  </si>
  <si>
    <t>Liveled</t>
  </si>
  <si>
    <t>L2-199</t>
  </si>
  <si>
    <t>UKQGX</t>
  </si>
  <si>
    <t>Club House</t>
  </si>
  <si>
    <t>2/61681</t>
  </si>
  <si>
    <t>Bomberos</t>
  </si>
  <si>
    <t>11/6268</t>
  </si>
  <si>
    <t>Mauro (Calderas)</t>
  </si>
  <si>
    <t>Rehau (Fondital)</t>
  </si>
  <si>
    <t>Antea 24 (OSCHEMOD20)</t>
  </si>
  <si>
    <t>20111218033323298</t>
  </si>
  <si>
    <t>VF5+</t>
  </si>
  <si>
    <t>10/451283</t>
  </si>
  <si>
    <t>UPS 3 KVA</t>
  </si>
  <si>
    <t>APC</t>
  </si>
  <si>
    <t>SURTD3000XLI</t>
  </si>
  <si>
    <t>NS0845003932</t>
  </si>
  <si>
    <t>Guillermo Calderas</t>
  </si>
  <si>
    <t>AMPC-GAL1 MCU STD MED FF C&amp;M</t>
  </si>
  <si>
    <t>091316HG1128</t>
  </si>
  <si>
    <t>1H297</t>
  </si>
  <si>
    <t>Cargador externo para Trotec BG40</t>
  </si>
  <si>
    <t>CA18500</t>
  </si>
  <si>
    <t>SKCHN</t>
  </si>
  <si>
    <t>Control de Puerta</t>
  </si>
  <si>
    <t>5/42782</t>
  </si>
  <si>
    <t>MPQRC</t>
  </si>
  <si>
    <t>011522080102376</t>
  </si>
  <si>
    <t>DLV Ingeniería</t>
  </si>
  <si>
    <t>CT/PT Analyzer</t>
  </si>
  <si>
    <t>HAOMAI</t>
  </si>
  <si>
    <t>CTP 200P</t>
  </si>
  <si>
    <t>CPPF312315</t>
  </si>
  <si>
    <t>24401</t>
  </si>
  <si>
    <t>Miguel Díaz</t>
  </si>
  <si>
    <t>Placa de Central de alarmas 8 zonas</t>
  </si>
  <si>
    <t>X28</t>
  </si>
  <si>
    <t>N16-MPXH</t>
  </si>
  <si>
    <t>965RU</t>
  </si>
  <si>
    <t>Hotel Cacique Inacayal</t>
  </si>
  <si>
    <t>Amplificador de audio 70W</t>
  </si>
  <si>
    <t>Dumont</t>
  </si>
  <si>
    <t>A-570</t>
  </si>
  <si>
    <t>A-5700512051230061</t>
  </si>
  <si>
    <t>Sionika</t>
  </si>
  <si>
    <t>PA-30</t>
  </si>
  <si>
    <t>4AOM5</t>
  </si>
  <si>
    <t>Inversor / Cargador Solar 4KW</t>
  </si>
  <si>
    <t>QMAX</t>
  </si>
  <si>
    <t>QM4048SP-C</t>
  </si>
  <si>
    <t>3141513948</t>
  </si>
  <si>
    <t>Inverter 24vdc / 220vac -2000W</t>
  </si>
  <si>
    <t>HGI-2K-24</t>
  </si>
  <si>
    <t>96111607100079</t>
  </si>
  <si>
    <t>Placa impresora  HP 1102W</t>
  </si>
  <si>
    <t>Yyj5emot</t>
  </si>
  <si>
    <t>Cargador de Batería</t>
  </si>
  <si>
    <t>DHQOF</t>
  </si>
  <si>
    <t>Placa de Lavarropas Drean Gold Blue</t>
  </si>
  <si>
    <t>3002995</t>
  </si>
  <si>
    <t>0418113706750</t>
  </si>
  <si>
    <t>Placa de Lavarropas Aurora</t>
  </si>
  <si>
    <t>050UY</t>
  </si>
  <si>
    <t>MC electrónica</t>
  </si>
  <si>
    <t>LC5300</t>
  </si>
  <si>
    <t>3720</t>
  </si>
  <si>
    <t>Placa de Lavarropas Drean Next</t>
  </si>
  <si>
    <t>7722004600</t>
  </si>
  <si>
    <t>0707173038021</t>
  </si>
  <si>
    <t>Placa de lavarropas Drean Unicommand 116</t>
  </si>
  <si>
    <t>1023329</t>
  </si>
  <si>
    <t>1203</t>
  </si>
  <si>
    <t>Display de Lavarropas</t>
  </si>
  <si>
    <t>Bitron</t>
  </si>
  <si>
    <t>30411549</t>
  </si>
  <si>
    <t>115220</t>
  </si>
  <si>
    <t>0418113605605</t>
  </si>
  <si>
    <t>Placa de Lavarropas Drean Blue</t>
  </si>
  <si>
    <t>7722000700</t>
  </si>
  <si>
    <t>0514104301266</t>
  </si>
  <si>
    <t>Placa Display de lavarropas</t>
  </si>
  <si>
    <t>DC9200655E7F5V1307</t>
  </si>
  <si>
    <t>0N1ZU</t>
  </si>
  <si>
    <t>PAMPA ENERGIA S.A. - Central Térmica Loma de la Lata</t>
  </si>
  <si>
    <t>Placa de disparos de variador de velocidad</t>
  </si>
  <si>
    <t>SRD</t>
  </si>
  <si>
    <t>E341686</t>
  </si>
  <si>
    <t>1516</t>
  </si>
  <si>
    <t>24449</t>
  </si>
  <si>
    <t>Arranque Suave 50A</t>
  </si>
  <si>
    <t>ASTAT-BP - QB10058U2AMXS</t>
  </si>
  <si>
    <t>W01664701005</t>
  </si>
  <si>
    <t>24450</t>
  </si>
  <si>
    <t>Analizador de respuesta de frecuencia</t>
  </si>
  <si>
    <t>Tettex</t>
  </si>
  <si>
    <t>FRA2310</t>
  </si>
  <si>
    <t>175081</t>
  </si>
  <si>
    <t>24475</t>
  </si>
  <si>
    <t>Vanesa ( Reflector LED)</t>
  </si>
  <si>
    <t>MARS Optoelectrónica</t>
  </si>
  <si>
    <t>SunFlash 225</t>
  </si>
  <si>
    <t>H0E62</t>
  </si>
  <si>
    <t>Cargador automático Inteligente 12v 30a</t>
  </si>
  <si>
    <t>IC-30-12</t>
  </si>
  <si>
    <t>3J038</t>
  </si>
  <si>
    <t>Inversor 12V 1kW</t>
  </si>
  <si>
    <t>Ecosolar</t>
  </si>
  <si>
    <t>I100012V</t>
  </si>
  <si>
    <t>2ABXH</t>
  </si>
  <si>
    <t>12220500</t>
  </si>
  <si>
    <t>35PYM</t>
  </si>
  <si>
    <t>Hugo Rega</t>
  </si>
  <si>
    <t>Cinta de correr</t>
  </si>
  <si>
    <t>Randers</t>
  </si>
  <si>
    <t>ARG-450</t>
  </si>
  <si>
    <t>7797481000560</t>
  </si>
  <si>
    <t>Matías Menteguiaga</t>
  </si>
  <si>
    <t>ICM-1000-12</t>
  </si>
  <si>
    <t>C001012E201209240018</t>
  </si>
  <si>
    <t>2015-02-10C0279</t>
  </si>
  <si>
    <t>2016-01-14D000902</t>
  </si>
  <si>
    <t>Relé de seguridad</t>
  </si>
  <si>
    <t>Sick</t>
  </si>
  <si>
    <t>UE45-3S12D3 3</t>
  </si>
  <si>
    <t>6024911</t>
  </si>
  <si>
    <t>Daniel Venturino</t>
  </si>
  <si>
    <t>Placa de heladera</t>
  </si>
  <si>
    <t>Whirlpool</t>
  </si>
  <si>
    <t>WRX48</t>
  </si>
  <si>
    <t>08062-024</t>
  </si>
  <si>
    <t>07828-024</t>
  </si>
  <si>
    <t>Dowen Pagio</t>
  </si>
  <si>
    <t>MMA180</t>
  </si>
  <si>
    <t>9991142</t>
  </si>
  <si>
    <t>Diego Robin</t>
  </si>
  <si>
    <t>Resideo</t>
  </si>
  <si>
    <t>DKG 972-N Mod,03</t>
  </si>
  <si>
    <t>S11321017713</t>
  </si>
  <si>
    <t>DLG 976-N Mod,01</t>
  </si>
  <si>
    <t>S14119006141</t>
  </si>
  <si>
    <t>Hotel Kilton SA</t>
  </si>
  <si>
    <t>Horno /Microondas eléctrico</t>
  </si>
  <si>
    <t>Smeg</t>
  </si>
  <si>
    <t>SF4390MCX</t>
  </si>
  <si>
    <t>15601976031604210103</t>
  </si>
  <si>
    <t>Placa CPU de alarma</t>
  </si>
  <si>
    <t>N32</t>
  </si>
  <si>
    <t>6KKKN</t>
  </si>
  <si>
    <t>Placa Interface de Baterías</t>
  </si>
  <si>
    <t>N32 (IMP20175-36F)</t>
  </si>
  <si>
    <t>N8PO6</t>
  </si>
  <si>
    <t>S11523003351</t>
  </si>
  <si>
    <t>Notebook 15,6"</t>
  </si>
  <si>
    <t>Lenovo</t>
  </si>
  <si>
    <t>ideapad 320 15ikb core i5</t>
  </si>
  <si>
    <t>69AKF</t>
  </si>
  <si>
    <t>15601977022229430103</t>
  </si>
  <si>
    <t>1/40162</t>
  </si>
  <si>
    <t>VP-5000</t>
  </si>
  <si>
    <t>92932103103066</t>
  </si>
  <si>
    <t>Inversor / Cargador de baterías 3KW 12V</t>
  </si>
  <si>
    <t>ICW-3000-12</t>
  </si>
  <si>
    <t>C003012E201603300019</t>
  </si>
  <si>
    <t>92932103103086</t>
  </si>
  <si>
    <t>92931911100869</t>
  </si>
  <si>
    <t>Inversor 12V 600W</t>
  </si>
  <si>
    <t>Ficatto</t>
  </si>
  <si>
    <t>NWR000147 (INV12600W)</t>
  </si>
  <si>
    <t>KS200612083A09790</t>
  </si>
  <si>
    <t>Placa de control de Volumen</t>
  </si>
  <si>
    <t>Biamp</t>
  </si>
  <si>
    <t>A0123005 B</t>
  </si>
  <si>
    <t>I06/0906</t>
  </si>
  <si>
    <t>Cava de vino 6 Botellas</t>
  </si>
  <si>
    <t>Vondom</t>
  </si>
  <si>
    <t>T6</t>
  </si>
  <si>
    <t>FV4U2</t>
  </si>
  <si>
    <t>Slim 1300I</t>
  </si>
  <si>
    <t>0508715050</t>
  </si>
  <si>
    <t>Soluciones Técnicas Bariloche</t>
  </si>
  <si>
    <t>Variador de velocidad Trifásico 10</t>
  </si>
  <si>
    <t>CFW500B10P0T4DB20H00G2</t>
  </si>
  <si>
    <t>1088262711</t>
  </si>
  <si>
    <t>Germán Montero</t>
  </si>
  <si>
    <t>Inverter 24vdc / 220vac - 3200W</t>
  </si>
  <si>
    <t>Huangcom Group</t>
  </si>
  <si>
    <t>HY32222VMII</t>
  </si>
  <si>
    <t>9208720201203007</t>
  </si>
  <si>
    <t>Anafe eléctrico de inducción 3300W</t>
  </si>
  <si>
    <t>NZ60R3703PK</t>
  </si>
  <si>
    <t>B7SL78DT100149K</t>
  </si>
  <si>
    <t>24617</t>
  </si>
  <si>
    <t>92932103103059</t>
  </si>
  <si>
    <t>Lisandro (amplificador guitarra)</t>
  </si>
  <si>
    <t>Amplificador de guitarra</t>
  </si>
  <si>
    <t>Vox (Valvetronix)</t>
  </si>
  <si>
    <t>VT20X</t>
  </si>
  <si>
    <t>V04-078449</t>
  </si>
  <si>
    <t>INVERTER KING 5KW PAR-A</t>
  </si>
  <si>
    <t>92932204101738</t>
  </si>
  <si>
    <t>VVVF5</t>
  </si>
  <si>
    <t>10/57680</t>
  </si>
  <si>
    <t>8/166903</t>
  </si>
  <si>
    <t>Placa Inverter de Lavarropa</t>
  </si>
  <si>
    <t xml:space="preserve">Whirlpool </t>
  </si>
  <si>
    <t>W10877440 (WLF12BW)</t>
  </si>
  <si>
    <t>859200541000</t>
  </si>
  <si>
    <t>9VJRF</t>
  </si>
  <si>
    <t>NAEQ0</t>
  </si>
  <si>
    <t>Marcos (Inversor Giandel)</t>
  </si>
  <si>
    <t>Giandel</t>
  </si>
  <si>
    <t>PS-1000DAR</t>
  </si>
  <si>
    <t>VLS5L</t>
  </si>
  <si>
    <t>Internet</t>
  </si>
  <si>
    <t>EQUIPOS 2024 COBRADOS EN 2025</t>
  </si>
  <si>
    <t>Cant
Rep</t>
  </si>
  <si>
    <t>Cant
Ent</t>
  </si>
  <si>
    <t>Lionel (Alicura)</t>
  </si>
  <si>
    <t>Lisandro Pastrana</t>
  </si>
  <si>
    <t>Inversor / Cargador de baterías 1KW 12V</t>
  </si>
  <si>
    <t>7 Condores</t>
  </si>
  <si>
    <t>Chacabuco</t>
  </si>
  <si>
    <t>YRPPL</t>
  </si>
  <si>
    <t>Alejandro Azocar</t>
  </si>
  <si>
    <t>MK-220</t>
  </si>
  <si>
    <t>3S5GO</t>
  </si>
  <si>
    <t>Telemecanique (Altivar LIFT)</t>
  </si>
  <si>
    <t>ATV71LD48N4Z</t>
  </si>
  <si>
    <t>6W152000229</t>
  </si>
  <si>
    <t>Leonel Valdez (Calderas)</t>
  </si>
  <si>
    <t>W1LEG</t>
  </si>
  <si>
    <t>SEK7A</t>
  </si>
  <si>
    <t>Sebastián (TV LG)</t>
  </si>
  <si>
    <t>TV LED 42</t>
  </si>
  <si>
    <t>42LB5600-SB</t>
  </si>
  <si>
    <t>407ITBZ0A949</t>
  </si>
  <si>
    <t>Cesar (Inversor Daza)</t>
  </si>
  <si>
    <t>Inversor 12V 2kW</t>
  </si>
  <si>
    <t>Daza</t>
  </si>
  <si>
    <t>DZBEP20S1</t>
  </si>
  <si>
    <t>DD7G202206061577955</t>
  </si>
  <si>
    <t>Los Robles</t>
  </si>
  <si>
    <t>S9B19</t>
  </si>
  <si>
    <t>0OK4U</t>
  </si>
  <si>
    <t>777143-02- (Etna Minus)</t>
  </si>
  <si>
    <t>201103</t>
  </si>
  <si>
    <t>1919</t>
  </si>
  <si>
    <t>Termocirculador de Inmersión 1485W</t>
  </si>
  <si>
    <t>Sage PolyScience</t>
  </si>
  <si>
    <t>GSV700 PSS</t>
  </si>
  <si>
    <t>CE2LN</t>
  </si>
  <si>
    <t>YXE3A</t>
  </si>
  <si>
    <t>Gastón (Ascensores Lucero)</t>
  </si>
  <si>
    <t>Smart TV 48"</t>
  </si>
  <si>
    <t>Daewoo</t>
  </si>
  <si>
    <t>DWLED-48FHD</t>
  </si>
  <si>
    <t>344659</t>
  </si>
  <si>
    <t>Matías Korten</t>
  </si>
  <si>
    <t>6FFNS</t>
  </si>
  <si>
    <t>Analizador de baterías</t>
  </si>
  <si>
    <t>Fluke</t>
  </si>
  <si>
    <t>BT521</t>
  </si>
  <si>
    <t>42390061WS</t>
  </si>
  <si>
    <t>28PKG</t>
  </si>
  <si>
    <t>1/65945</t>
  </si>
  <si>
    <t>11/5017</t>
  </si>
  <si>
    <t>Variador de velocidad 2,2 KW</t>
  </si>
  <si>
    <t>XAUD11-001557</t>
  </si>
  <si>
    <t>Variador de velocidad 1,5 KW</t>
  </si>
  <si>
    <t>6SL3211-0AB21-5UA1</t>
  </si>
  <si>
    <t>XAW107-003736</t>
  </si>
  <si>
    <t>Octavio Roca</t>
  </si>
  <si>
    <t>Inversor/Cargador de Batería 600W</t>
  </si>
  <si>
    <t>Intelligent</t>
  </si>
  <si>
    <t>600W</t>
  </si>
  <si>
    <t>J1GO4</t>
  </si>
  <si>
    <t>Sistema de audio 2.1</t>
  </si>
  <si>
    <t>MCD183/77</t>
  </si>
  <si>
    <t>AJ1A1238012331</t>
  </si>
  <si>
    <t>Carrier</t>
  </si>
  <si>
    <t>135222</t>
  </si>
  <si>
    <t>Placa Display</t>
  </si>
  <si>
    <t>DDD-916</t>
  </si>
  <si>
    <t>LC64529</t>
  </si>
  <si>
    <t>Tronador SAC (Rapanui)</t>
  </si>
  <si>
    <t>CEPL130590-01</t>
  </si>
  <si>
    <t>080322</t>
  </si>
  <si>
    <t>968ZG</t>
  </si>
  <si>
    <t>Placa de potencia de templadora de chocolate</t>
  </si>
  <si>
    <t>Selmi</t>
  </si>
  <si>
    <t>191114</t>
  </si>
  <si>
    <t>0837</t>
  </si>
  <si>
    <t>110808</t>
  </si>
  <si>
    <t>0FUN6</t>
  </si>
  <si>
    <t>HAGC27-SM01</t>
  </si>
  <si>
    <t>63249201</t>
  </si>
  <si>
    <t>Rubén (Caldera Ideal Clima)</t>
  </si>
  <si>
    <t>S4565</t>
  </si>
  <si>
    <t>ANIBD</t>
  </si>
  <si>
    <t>Pablo (Caldera Peisa DS30f)</t>
  </si>
  <si>
    <t>Technosystem (Peisa)</t>
  </si>
  <si>
    <t>T03D800 (DS30f)</t>
  </si>
  <si>
    <t>JGRBI</t>
  </si>
  <si>
    <t>UPS 6KVA</t>
  </si>
  <si>
    <t>EQUIZER</t>
  </si>
  <si>
    <t>ULT-6K</t>
  </si>
  <si>
    <t>128805</t>
  </si>
  <si>
    <t>Fernando Simoneta</t>
  </si>
  <si>
    <t>Inversor híbrido monofásico 6,2KW</t>
  </si>
  <si>
    <t>Anern</t>
  </si>
  <si>
    <t>AN-SCI-ECO-6200</t>
  </si>
  <si>
    <t>92060230829089</t>
  </si>
  <si>
    <t>7405F</t>
  </si>
  <si>
    <t>Electroválvula</t>
  </si>
  <si>
    <t>SV9541M2094</t>
  </si>
  <si>
    <t>0512D5C12V</t>
  </si>
  <si>
    <t>AES ARGENTINA (Hidroeléctrica Alicura)</t>
  </si>
  <si>
    <t>Arranque Suave  110kW</t>
  </si>
  <si>
    <t>3RW4443-6BC44</t>
  </si>
  <si>
    <t>G/171012</t>
  </si>
  <si>
    <t>24787</t>
  </si>
  <si>
    <t>AES ARGENTINA (Hidroeléctrica Alicura )</t>
  </si>
  <si>
    <t>G/170721</t>
  </si>
  <si>
    <t>24788</t>
  </si>
  <si>
    <t>AES ARGENTINA ( Hidroeléctrica Alicura)</t>
  </si>
  <si>
    <t>G/170809</t>
  </si>
  <si>
    <t>24789</t>
  </si>
  <si>
    <t>Cargador automático 12V 40A</t>
  </si>
  <si>
    <t>EOS</t>
  </si>
  <si>
    <t>EBC12-40</t>
  </si>
  <si>
    <t>8FB04051000A013122EH0001</t>
  </si>
  <si>
    <t>17069.10</t>
  </si>
  <si>
    <t>17069.11</t>
  </si>
  <si>
    <t>Leaky Feeder Head End</t>
  </si>
  <si>
    <t>Becker</t>
  </si>
  <si>
    <t>RNG-H36</t>
  </si>
  <si>
    <t>0000.0392</t>
  </si>
  <si>
    <t>Scopemeter color</t>
  </si>
  <si>
    <t>196C</t>
  </si>
  <si>
    <t>944402196628</t>
  </si>
  <si>
    <t>Inversor / Cargador Solar 4KW 48V</t>
  </si>
  <si>
    <t>Sunchees</t>
  </si>
  <si>
    <t>SIC4KW</t>
  </si>
  <si>
    <t>1806000167</t>
  </si>
  <si>
    <t>Inversor / Cargador Solar 1.5KW 48V</t>
  </si>
  <si>
    <t>SolarPowerSistem</t>
  </si>
  <si>
    <t>1.5KW/48VDC</t>
  </si>
  <si>
    <t>19120305001</t>
  </si>
  <si>
    <t>2016-03-08E003030</t>
  </si>
  <si>
    <t>63V4C142304510</t>
  </si>
  <si>
    <t>Bernardo Moreno</t>
  </si>
  <si>
    <t>Control de velocidad de batidora</t>
  </si>
  <si>
    <t>W10572213</t>
  </si>
  <si>
    <t>NQ14430WDCA</t>
  </si>
  <si>
    <t>011911230100578</t>
  </si>
  <si>
    <t>011911230100840</t>
  </si>
  <si>
    <t>Hotel Montana</t>
  </si>
  <si>
    <t>Cava de vino 38 Botellas</t>
  </si>
  <si>
    <t>Winefroz</t>
  </si>
  <si>
    <t>MN32D</t>
  </si>
  <si>
    <t>DIM01</t>
  </si>
  <si>
    <t>Control de Puerta 220vac/250W</t>
  </si>
  <si>
    <t>10/48306</t>
  </si>
  <si>
    <t>Soldadora inverter MMA 210A</t>
  </si>
  <si>
    <t>Salkor</t>
  </si>
  <si>
    <t>IEP2100</t>
  </si>
  <si>
    <t>Tablet</t>
  </si>
  <si>
    <t>SM-T113</t>
  </si>
  <si>
    <t>R52KA0XHAK</t>
  </si>
  <si>
    <t>Leandro (Los Pehuenes)</t>
  </si>
  <si>
    <t>Smart TV 43</t>
  </si>
  <si>
    <t>UN43J5202AG</t>
  </si>
  <si>
    <t>BZP434CM909905X</t>
  </si>
  <si>
    <t>Variador de velocidad 30 kw</t>
  </si>
  <si>
    <t>6W0425000022</t>
  </si>
  <si>
    <t>PAMPA ENERGIA S.A. Pichi Picún Leufú</t>
  </si>
  <si>
    <t>Fuente de Servidor</t>
  </si>
  <si>
    <t>Dell</t>
  </si>
  <si>
    <t>N870P-S0</t>
  </si>
  <si>
    <t>A09064010393</t>
  </si>
  <si>
    <t>24872</t>
  </si>
  <si>
    <t>A090640100096</t>
  </si>
  <si>
    <t>24874</t>
  </si>
  <si>
    <t>A090640100254</t>
  </si>
  <si>
    <t>24875</t>
  </si>
  <si>
    <t>Viviana Escobar</t>
  </si>
  <si>
    <t>WFXSN</t>
  </si>
  <si>
    <t>5/75672</t>
  </si>
  <si>
    <t>Fuente de Switch (18-36vdc/5vdc)</t>
  </si>
  <si>
    <t>Moxa</t>
  </si>
  <si>
    <t>PT-7728</t>
  </si>
  <si>
    <t>TAZA01123338</t>
  </si>
  <si>
    <t>JHJB2</t>
  </si>
  <si>
    <t>INTA Bariloche</t>
  </si>
  <si>
    <t>Espectrofotómetro</t>
  </si>
  <si>
    <t>Thermo</t>
  </si>
  <si>
    <t>Spectronic 20D+</t>
  </si>
  <si>
    <t>408613</t>
  </si>
  <si>
    <t>Martín (Cargador Baterías)</t>
  </si>
  <si>
    <t>2 cargadores de Batería</t>
  </si>
  <si>
    <t>Makita/Einhell</t>
  </si>
  <si>
    <t>DC18RC/POWER-X-CHARGER</t>
  </si>
  <si>
    <t>4QFA5</t>
  </si>
  <si>
    <t>José (Total Clima)</t>
  </si>
  <si>
    <t>9PJ2L</t>
  </si>
  <si>
    <t>Miguel Sanchez</t>
  </si>
  <si>
    <t>100422</t>
  </si>
  <si>
    <t>Lucas (Inversor Voltronic)</t>
  </si>
  <si>
    <t>VM-1000</t>
  </si>
  <si>
    <t>92432402100061</t>
  </si>
  <si>
    <t>8/85707</t>
  </si>
  <si>
    <t>Orazul Energía Cerros Colorados S.A.</t>
  </si>
  <si>
    <t>0964B1</t>
  </si>
  <si>
    <t>24939</t>
  </si>
  <si>
    <t>109495</t>
  </si>
  <si>
    <t>24940</t>
  </si>
  <si>
    <t>Placa de entradas/Salidas digitales</t>
  </si>
  <si>
    <t>DS3800HI0D1G1G</t>
  </si>
  <si>
    <t>0990BD</t>
  </si>
  <si>
    <t>24941</t>
  </si>
  <si>
    <t>0CE804</t>
  </si>
  <si>
    <t>24942</t>
  </si>
  <si>
    <t>Placa de aislación de alto nivel</t>
  </si>
  <si>
    <t>DS3800HSCG1E1F</t>
  </si>
  <si>
    <t>08D015</t>
  </si>
  <si>
    <t>24943</t>
  </si>
  <si>
    <t>09C2D9</t>
  </si>
  <si>
    <t>24944</t>
  </si>
  <si>
    <t>DUNGS</t>
  </si>
  <si>
    <t>MPA4111 V1.1</t>
  </si>
  <si>
    <t>00012556/U09</t>
  </si>
  <si>
    <t>Central telefónica</t>
  </si>
  <si>
    <t>Panasonic</t>
  </si>
  <si>
    <t>KX-T123211D</t>
  </si>
  <si>
    <t>T1295ZA</t>
  </si>
  <si>
    <t>Ariel Silva</t>
  </si>
  <si>
    <t>Inversor / Cargador Solar 5KW 48V</t>
  </si>
  <si>
    <t>HFP4850S80-145</t>
  </si>
  <si>
    <t>SR-230323001-30001-Q10</t>
  </si>
  <si>
    <t>Placa display templadora</t>
  </si>
  <si>
    <t>160906</t>
  </si>
  <si>
    <t>4273</t>
  </si>
  <si>
    <t>IVMT-5K-48</t>
  </si>
  <si>
    <t>92932011102996</t>
  </si>
  <si>
    <t>Placa CPU  control de maniobra</t>
  </si>
  <si>
    <t>26568</t>
  </si>
  <si>
    <t>Guillermo</t>
  </si>
  <si>
    <t>Control de torno</t>
  </si>
  <si>
    <t>KOMMBERG</t>
  </si>
  <si>
    <t>BL180</t>
  </si>
  <si>
    <t>0E010</t>
  </si>
  <si>
    <t>Bangho</t>
  </si>
  <si>
    <t>MAX L5</t>
  </si>
  <si>
    <t>WEAC3</t>
  </si>
  <si>
    <t>SJ0VL</t>
  </si>
  <si>
    <t>GK100-2T0.75</t>
  </si>
  <si>
    <t>KA0007M1LJ13395-19Y</t>
  </si>
  <si>
    <t>Nora Di Capua</t>
  </si>
  <si>
    <t>UPS 2KVA</t>
  </si>
  <si>
    <t>EATON</t>
  </si>
  <si>
    <t>EDX2000H</t>
  </si>
  <si>
    <t>100601-85720046</t>
  </si>
  <si>
    <t>Controlador de Riego Programable 6 Estaciones</t>
  </si>
  <si>
    <t>Hunter</t>
  </si>
  <si>
    <t>XC-601iE</t>
  </si>
  <si>
    <t>NOV12</t>
  </si>
  <si>
    <t>92932011103011</t>
  </si>
  <si>
    <t>Inversor / Cargador Solar 8KW 48V</t>
  </si>
  <si>
    <t>IMX-8K-48P</t>
  </si>
  <si>
    <t>92962204100385</t>
  </si>
  <si>
    <t>Darío (Inversor Epever)</t>
  </si>
  <si>
    <t>Inversor / Cargador Solar 1KW 12V</t>
  </si>
  <si>
    <t>Epever</t>
  </si>
  <si>
    <t>UP1000-M3212</t>
  </si>
  <si>
    <t>05050014001SPWQW-00069</t>
  </si>
  <si>
    <t>MLZQO</t>
  </si>
  <si>
    <t>NP-R480</t>
  </si>
  <si>
    <t>Z02Z93DZ30016B</t>
  </si>
  <si>
    <t>92931911100880</t>
  </si>
  <si>
    <t>INVERTER5KWIII</t>
  </si>
  <si>
    <t>92932103103353</t>
  </si>
  <si>
    <t>Genius M70 (11600011)</t>
  </si>
  <si>
    <t>WI827</t>
  </si>
  <si>
    <t>094822B</t>
  </si>
  <si>
    <t>KB-SMART250</t>
  </si>
  <si>
    <t>2QZJP</t>
  </si>
  <si>
    <t>V7Y97</t>
  </si>
  <si>
    <t>Placa de Maquina de Hielo</t>
  </si>
  <si>
    <t>Snooker</t>
  </si>
  <si>
    <t>ZBJ-ZB-1</t>
  </si>
  <si>
    <t>22211</t>
  </si>
  <si>
    <t>E321060 (Caldera Genius)</t>
  </si>
  <si>
    <t>SY4FA</t>
  </si>
  <si>
    <t>191016ER0766</t>
  </si>
  <si>
    <t>Santiago Nazar</t>
  </si>
  <si>
    <t>92932103103083</t>
  </si>
  <si>
    <t>CMP-BT-TEC HS (MICROTEC 23 MFFI)</t>
  </si>
  <si>
    <t>José</t>
  </si>
  <si>
    <t>CDH-LE42FD08</t>
  </si>
  <si>
    <t>RF0996926602916</t>
  </si>
  <si>
    <t>Carlos Lamuniere</t>
  </si>
  <si>
    <t xml:space="preserve">Soldadora inverter MIG/MMA  </t>
  </si>
  <si>
    <t>Gladiator</t>
  </si>
  <si>
    <t>IME 8170/220</t>
  </si>
  <si>
    <t>H07I1</t>
  </si>
  <si>
    <t>Soldadora inverter MMA 200A</t>
  </si>
  <si>
    <t>NG0WH</t>
  </si>
  <si>
    <t>Exequiel Benjamín</t>
  </si>
  <si>
    <t>JNK1CEW0EM</t>
  </si>
  <si>
    <t>10/5613</t>
  </si>
  <si>
    <t>Placa Controladora de ascensor</t>
  </si>
  <si>
    <t>Wilcox</t>
  </si>
  <si>
    <t>HR</t>
  </si>
  <si>
    <t>F7898</t>
  </si>
  <si>
    <t>Placa Display de Heladera</t>
  </si>
  <si>
    <t>Dixell</t>
  </si>
  <si>
    <t>T640 ( M7ZEZC9AA )</t>
  </si>
  <si>
    <t>001#12/2015</t>
  </si>
  <si>
    <t>2 Fuentes 220vac/24vdc-2.1A</t>
  </si>
  <si>
    <t>ReingPower</t>
  </si>
  <si>
    <t>LP1050D-24SDA</t>
  </si>
  <si>
    <t>RPL21121678/RPL21390250</t>
  </si>
  <si>
    <t>Leandro ( Placas lavarropas )</t>
  </si>
  <si>
    <t>24707</t>
  </si>
  <si>
    <t>25139</t>
  </si>
  <si>
    <t>Hotel Plaza Asc 3</t>
  </si>
  <si>
    <t>7/34337</t>
  </si>
  <si>
    <t>Inversor / Cargador Solar 3KW 48V</t>
  </si>
  <si>
    <t>SPF3000TL HVM-48</t>
  </si>
  <si>
    <t>YXDCA4501A</t>
  </si>
  <si>
    <t>Matías (Cinta BH Fitnes)</t>
  </si>
  <si>
    <t>Placa de cinta</t>
  </si>
  <si>
    <t>BH Fitness</t>
  </si>
  <si>
    <t>DK10-A01A-1</t>
  </si>
  <si>
    <t>JBULN</t>
  </si>
  <si>
    <t>JP8L4</t>
  </si>
  <si>
    <t>5/107314</t>
  </si>
  <si>
    <t>Juan ( Horno Ariston)</t>
  </si>
  <si>
    <t>Horno empotrable eléctrico</t>
  </si>
  <si>
    <t>OS 99 D P iX</t>
  </si>
  <si>
    <t>007260102-03591040200</t>
  </si>
  <si>
    <t>Victor (Soldadora Volt)</t>
  </si>
  <si>
    <t>Soldadora MIG 190A</t>
  </si>
  <si>
    <t>Volt</t>
  </si>
  <si>
    <t>MIG-190</t>
  </si>
  <si>
    <t>1604001035</t>
  </si>
  <si>
    <t>Alejandro</t>
  </si>
  <si>
    <t>UPS 900W</t>
  </si>
  <si>
    <t>TRV</t>
  </si>
  <si>
    <t>EXCEL 900</t>
  </si>
  <si>
    <t>130568</t>
  </si>
  <si>
    <t>Hotel Tunquelén</t>
  </si>
  <si>
    <t>Horno Combinado Multifunción</t>
  </si>
  <si>
    <t>Aliberti (Angelo Po)</t>
  </si>
  <si>
    <t>FCV4E</t>
  </si>
  <si>
    <t>97190217001</t>
  </si>
  <si>
    <t>Boletti Ana</t>
  </si>
  <si>
    <t>9293201210869</t>
  </si>
  <si>
    <t>Martín Korten</t>
  </si>
  <si>
    <t>MS (Voltronic)</t>
  </si>
  <si>
    <t>Inverter 5KW III</t>
  </si>
  <si>
    <t>92932202102629</t>
  </si>
  <si>
    <t>Placa display ascensor</t>
  </si>
  <si>
    <t>Xiloc</t>
  </si>
  <si>
    <t>Display1</t>
  </si>
  <si>
    <t>G19647</t>
  </si>
  <si>
    <t>CANW081</t>
  </si>
  <si>
    <t>1852</t>
  </si>
  <si>
    <t>Ascensores Basaldua</t>
  </si>
  <si>
    <t>220302</t>
  </si>
  <si>
    <t>GI1VO</t>
  </si>
  <si>
    <t>ILW8W</t>
  </si>
  <si>
    <t>6K2TR</t>
  </si>
  <si>
    <t>5KVTT</t>
  </si>
  <si>
    <t>Matías Sebastián Regina</t>
  </si>
  <si>
    <t>32PFL3518G/77</t>
  </si>
  <si>
    <t>ZA1A1334006095</t>
  </si>
  <si>
    <t>Reparado En Garantía</t>
  </si>
  <si>
    <t>Garantía</t>
  </si>
  <si>
    <t>Placa Control velocidad de batidora</t>
  </si>
  <si>
    <t>FPS</t>
  </si>
  <si>
    <t>H01-04</t>
  </si>
  <si>
    <t>9707220</t>
  </si>
  <si>
    <t>Panel de control heladera</t>
  </si>
  <si>
    <t>Dometic</t>
  </si>
  <si>
    <t>289 0638-2</t>
  </si>
  <si>
    <t>FDPQE</t>
  </si>
  <si>
    <t>Gastón (A3 Unión Gráfica)</t>
  </si>
  <si>
    <t>Monitor 23.8"</t>
  </si>
  <si>
    <t xml:space="preserve">Gear </t>
  </si>
  <si>
    <t>M2423P</t>
  </si>
  <si>
    <t>R01701</t>
  </si>
  <si>
    <t>Monitor 19"</t>
  </si>
  <si>
    <t>W1942</t>
  </si>
  <si>
    <t>804NDEZE7164</t>
  </si>
  <si>
    <t>KL2K9</t>
  </si>
  <si>
    <t>Alberto ( Inversor Daza )</t>
  </si>
  <si>
    <t>DRGJ0</t>
  </si>
  <si>
    <t>FBTOP</t>
  </si>
  <si>
    <t>TNSMB</t>
  </si>
  <si>
    <t>2009166A0021</t>
  </si>
  <si>
    <t xml:space="preserve"> </t>
  </si>
  <si>
    <t>Fuente de Notebook</t>
  </si>
  <si>
    <t>1151-03HR</t>
  </si>
  <si>
    <t>F271821437095614</t>
  </si>
  <si>
    <t>Orazul</t>
  </si>
  <si>
    <t>CA00250105</t>
  </si>
  <si>
    <t>CA00250102110033</t>
  </si>
  <si>
    <t>CA00250102110048</t>
  </si>
  <si>
    <t>Negativo por el desfasaje de retiro de sueldo de 2024 en 2025</t>
  </si>
  <si>
    <t>BGH</t>
  </si>
  <si>
    <t>Trevi</t>
  </si>
  <si>
    <t>176007465</t>
  </si>
  <si>
    <t>Controlador de servomotor 1.5kw</t>
  </si>
  <si>
    <t>SGDH-15DE-OY</t>
  </si>
  <si>
    <t>1R04932400700018</t>
  </si>
  <si>
    <t>Placa Controladora de Motor</t>
  </si>
  <si>
    <t>Graseby Controls</t>
  </si>
  <si>
    <t>1268P CONTROLLER</t>
  </si>
  <si>
    <t>147579</t>
  </si>
  <si>
    <t>Abel Sarac</t>
  </si>
  <si>
    <t>Smart TV 40"</t>
  </si>
  <si>
    <t>40PFG6110/77</t>
  </si>
  <si>
    <t>ZA1A1537018061</t>
  </si>
  <si>
    <t>Tecpetrol</t>
  </si>
  <si>
    <t>Placa de Video DP4</t>
  </si>
  <si>
    <t>Datapath</t>
  </si>
  <si>
    <t>170P (ImageDP4)</t>
  </si>
  <si>
    <t>17D6PT046820</t>
  </si>
  <si>
    <t>Hissuma Solar</t>
  </si>
  <si>
    <t>PV18-1012-VPK</t>
  </si>
  <si>
    <t>VPV181012202101190012</t>
  </si>
  <si>
    <t>Jorge Pastrana</t>
  </si>
  <si>
    <t>JVC</t>
  </si>
  <si>
    <t>LT-43DA5125</t>
  </si>
  <si>
    <t>1-700-03386A</t>
  </si>
  <si>
    <t>Hotel Huinid</t>
  </si>
  <si>
    <t>Barrefondo Automático</t>
  </si>
  <si>
    <t>Dolphin</t>
  </si>
  <si>
    <t>SUPREME M4 PRO</t>
  </si>
  <si>
    <t>T91AU</t>
  </si>
  <si>
    <t>Termómetro Digital</t>
  </si>
  <si>
    <t>Testo</t>
  </si>
  <si>
    <t>103</t>
  </si>
  <si>
    <t>VJERU</t>
  </si>
  <si>
    <t>RKG3B0209K</t>
  </si>
  <si>
    <t>Pablo Biggeri</t>
  </si>
  <si>
    <t>UPS 1KVA</t>
  </si>
  <si>
    <t>Tuncmatik</t>
  </si>
  <si>
    <t>NewTech Pro 1KVA</t>
  </si>
  <si>
    <t>831214062656</t>
  </si>
  <si>
    <t>10/449852</t>
  </si>
  <si>
    <t xml:space="preserve">Placa de caldera de condensación </t>
  </si>
  <si>
    <t>012119290101246</t>
  </si>
  <si>
    <t>660050026200</t>
  </si>
  <si>
    <t>Control Techniques</t>
  </si>
  <si>
    <t>SE33400750 SE 11 T</t>
  </si>
  <si>
    <t>2050400934</t>
  </si>
  <si>
    <t>Placa Controladora de Termotanque Eléctrico</t>
  </si>
  <si>
    <t>000303005800 (Velis Evo 80)</t>
  </si>
  <si>
    <t>391720VA6059</t>
  </si>
  <si>
    <t>KCM2DAK08G</t>
  </si>
  <si>
    <t>Luciano Zeiss</t>
  </si>
  <si>
    <t>Impresora de etiquetas</t>
  </si>
  <si>
    <t>QL-700</t>
  </si>
  <si>
    <t>U63289-D6Z649813</t>
  </si>
  <si>
    <t>Cerveceria Kunstmann</t>
  </si>
  <si>
    <t>Panel Simatic TP1200 Comfort</t>
  </si>
  <si>
    <t>6AV2124-0MC01-0AX0</t>
  </si>
  <si>
    <t>C-D8A61750</t>
  </si>
  <si>
    <t>Julian Grossi</t>
  </si>
  <si>
    <t>Smart TV 55"</t>
  </si>
  <si>
    <t>55PUD7906/77</t>
  </si>
  <si>
    <t>ZA1A2217004418</t>
  </si>
  <si>
    <t>2E0BD</t>
  </si>
  <si>
    <t>La primavera Argentina</t>
  </si>
  <si>
    <t>194826</t>
  </si>
  <si>
    <t>Alejandro Perret</t>
  </si>
  <si>
    <t>92931909102265</t>
  </si>
  <si>
    <t>Central de alarmas</t>
  </si>
  <si>
    <t>Nollmed</t>
  </si>
  <si>
    <t>NAD12</t>
  </si>
  <si>
    <t>R2F86</t>
  </si>
  <si>
    <t>Sergio (Cerro Lopez)</t>
  </si>
  <si>
    <t>Inversor / Cargador Solar 3KW 24V</t>
  </si>
  <si>
    <t>MPP Solar</t>
  </si>
  <si>
    <t>PIP2424MSXE</t>
  </si>
  <si>
    <t>92331712100627</t>
  </si>
  <si>
    <t>Controlador de bomba solar TBST</t>
  </si>
  <si>
    <t>SPM.N5020</t>
  </si>
  <si>
    <t>20161024</t>
  </si>
  <si>
    <t>48/2021</t>
  </si>
  <si>
    <t>012206050100300</t>
  </si>
  <si>
    <t>Daniel ( Soldadora Lusqtoff)</t>
  </si>
  <si>
    <t>Soldsadora Inverter dual TIG/DC-MMA</t>
  </si>
  <si>
    <t>ST-200</t>
  </si>
  <si>
    <t>92332406100104</t>
  </si>
  <si>
    <t>Maxi (Inversor Voltronic)</t>
  </si>
  <si>
    <t>GAL-EVO-ATM-SIT-MOD</t>
  </si>
  <si>
    <t>081622WG2175</t>
  </si>
  <si>
    <t>43LJ5500</t>
  </si>
  <si>
    <t>711TNSU02038</t>
  </si>
  <si>
    <t>Quimey</t>
  </si>
  <si>
    <t>Nex</t>
  </si>
  <si>
    <t>LED4033SMR</t>
  </si>
  <si>
    <t>160603229</t>
  </si>
  <si>
    <t>Desgüace</t>
  </si>
  <si>
    <t>10/50377</t>
  </si>
  <si>
    <t>GM76D</t>
  </si>
  <si>
    <t>12029E</t>
  </si>
  <si>
    <t>Radio VHF</t>
  </si>
  <si>
    <t>Uniden</t>
  </si>
  <si>
    <t>UM380</t>
  </si>
  <si>
    <t>14011145</t>
  </si>
  <si>
    <t>Gastón (Placa Ariston)</t>
  </si>
  <si>
    <t>660050016100</t>
  </si>
  <si>
    <t>00001-00000427</t>
  </si>
  <si>
    <t>00001-00000420</t>
  </si>
  <si>
    <t>00000-00000000</t>
  </si>
  <si>
    <t>00001-00000421</t>
  </si>
  <si>
    <t>00001-00000422</t>
  </si>
  <si>
    <t>00001-00000426</t>
  </si>
  <si>
    <t>00001-00000425</t>
  </si>
  <si>
    <t>00001-00000424</t>
  </si>
  <si>
    <t>00001-00000423</t>
  </si>
  <si>
    <t>00001-00000428</t>
  </si>
  <si>
    <t>00001-00000430</t>
  </si>
  <si>
    <t>00001-00000429</t>
  </si>
  <si>
    <t>00001-00000431</t>
  </si>
  <si>
    <t>00001-00000292</t>
  </si>
  <si>
    <t>00001-00000300</t>
  </si>
  <si>
    <t>00001-00000295</t>
  </si>
  <si>
    <t>00001-00000297</t>
  </si>
  <si>
    <t>00001-00000299</t>
  </si>
  <si>
    <t>00001-00000302</t>
  </si>
  <si>
    <t>00001-00000296</t>
  </si>
  <si>
    <t>00001-00000303</t>
  </si>
  <si>
    <t>00001-00000298</t>
  </si>
  <si>
    <t>00001-00000301</t>
  </si>
  <si>
    <t>00001-00000304</t>
  </si>
  <si>
    <t>00001-00000305</t>
  </si>
  <si>
    <t>00001-00000030</t>
  </si>
  <si>
    <t>00001-00000306</t>
  </si>
  <si>
    <t>00001-00000027</t>
  </si>
  <si>
    <t>00001-00000307</t>
  </si>
  <si>
    <t>00001-00000330</t>
  </si>
  <si>
    <t>00001-00000331</t>
  </si>
  <si>
    <t>00001-00000321</t>
  </si>
  <si>
    <t>00001-00000029</t>
  </si>
  <si>
    <t>00001-00000028</t>
  </si>
  <si>
    <t>00001-00000322</t>
  </si>
  <si>
    <t>Control de temperatura</t>
  </si>
  <si>
    <t>00001-00000315</t>
  </si>
  <si>
    <t>00001-00000337</t>
  </si>
  <si>
    <t>00001-00000338</t>
  </si>
  <si>
    <t>00001-00000350</t>
  </si>
  <si>
    <t>00001-00000351</t>
  </si>
  <si>
    <t>00001-00000352</t>
  </si>
  <si>
    <t>00001-00000363</t>
  </si>
  <si>
    <t>00001-00000364</t>
  </si>
  <si>
    <t>00001-00000365</t>
  </si>
  <si>
    <t>00001-00000323</t>
  </si>
  <si>
    <t>00001-00000031</t>
  </si>
  <si>
    <t>00001-00000366</t>
  </si>
  <si>
    <t>00001-00000032</t>
  </si>
  <si>
    <t>00001-00000367</t>
  </si>
  <si>
    <t>00001-00000327</t>
  </si>
  <si>
    <t>00001-00000033</t>
  </si>
  <si>
    <t>00001-00000325</t>
  </si>
  <si>
    <t>00001-00000374</t>
  </si>
  <si>
    <t>00001-00000326</t>
  </si>
  <si>
    <t>00001-00000034</t>
  </si>
  <si>
    <t>00001-00000328</t>
  </si>
  <si>
    <t>00001-00000035</t>
  </si>
  <si>
    <t>00001-00000335</t>
  </si>
  <si>
    <t>00001-00000332</t>
  </si>
  <si>
    <t>00001-00000334</t>
  </si>
  <si>
    <t>00001-00000036</t>
  </si>
  <si>
    <t>00001-00000339</t>
  </si>
  <si>
    <t>00001-00000038</t>
  </si>
  <si>
    <t>00001-00000037</t>
  </si>
  <si>
    <t>00001-00000340</t>
  </si>
  <si>
    <t>00001-00000341</t>
  </si>
  <si>
    <t>00001-00000344</t>
  </si>
  <si>
    <t>00001-00000039</t>
  </si>
  <si>
    <t>00001-00000040</t>
  </si>
  <si>
    <t>00001-00000348</t>
  </si>
  <si>
    <t>00001-00000343</t>
  </si>
  <si>
    <t>00001-00000042</t>
  </si>
  <si>
    <t>00001-00000041</t>
  </si>
  <si>
    <t>00001-00000345</t>
  </si>
  <si>
    <t>00001-00000043</t>
  </si>
  <si>
    <t>00001-00000347</t>
  </si>
  <si>
    <t>00001-00000346</t>
  </si>
  <si>
    <t>00001-00000349</t>
  </si>
  <si>
    <t>00001-00000357</t>
  </si>
  <si>
    <t>00001-00000356</t>
  </si>
  <si>
    <t>00001-00000353</t>
  </si>
  <si>
    <t>00001-00000354</t>
  </si>
  <si>
    <t>00001-00000355</t>
  </si>
  <si>
    <t>00001-00000044</t>
  </si>
  <si>
    <t>00001-00000060</t>
  </si>
  <si>
    <t>00001-00000359</t>
  </si>
  <si>
    <t>00001-00000402</t>
  </si>
  <si>
    <t>00001-00000045</t>
  </si>
  <si>
    <t>00001-00000358</t>
  </si>
  <si>
    <t>00001-00000375</t>
  </si>
  <si>
    <t>00001-00000371</t>
  </si>
  <si>
    <t>00001-00000361</t>
  </si>
  <si>
    <t>00001-00000388</t>
  </si>
  <si>
    <t>00001-00000389</t>
  </si>
  <si>
    <t>00001-00000046</t>
  </si>
  <si>
    <t>00001-00000362</t>
  </si>
  <si>
    <t>00001-00000047</t>
  </si>
  <si>
    <t>00001-00000048</t>
  </si>
  <si>
    <t>00001-00000369</t>
  </si>
  <si>
    <t>00001-00000370</t>
  </si>
  <si>
    <t>00001-00000051</t>
  </si>
  <si>
    <t>00001-00000368</t>
  </si>
  <si>
    <t>00001-00000377</t>
  </si>
  <si>
    <t>00001-00000372</t>
  </si>
  <si>
    <t>00001-00000404</t>
  </si>
  <si>
    <t>00001-00000050</t>
  </si>
  <si>
    <t>00001-00000052</t>
  </si>
  <si>
    <t>00001-00000379</t>
  </si>
  <si>
    <t>00001-00000376</t>
  </si>
  <si>
    <t>00001-00000378</t>
  </si>
  <si>
    <t>00001-00000381</t>
  </si>
  <si>
    <t>00001-00000055</t>
  </si>
  <si>
    <t>00001-00000380</t>
  </si>
  <si>
    <t>00001-00000382</t>
  </si>
  <si>
    <t>00001-00000056</t>
  </si>
  <si>
    <t>00001-00000415</t>
  </si>
  <si>
    <t>00001-00000384</t>
  </si>
  <si>
    <t>00001-00000064</t>
  </si>
  <si>
    <t>00001-00000058</t>
  </si>
  <si>
    <t>00001-00000386</t>
  </si>
  <si>
    <t>00001-00000383</t>
  </si>
  <si>
    <t>00001-00000385</t>
  </si>
  <si>
    <t>00001-00000059</t>
  </si>
  <si>
    <t>00001-00000061</t>
  </si>
  <si>
    <t>00001-00000062</t>
  </si>
  <si>
    <t>00001-00000400</t>
  </si>
  <si>
    <t>00001-00000390</t>
  </si>
  <si>
    <t>00001-00000387</t>
  </si>
  <si>
    <t>00001-00000398</t>
  </si>
  <si>
    <t>00001-00000414</t>
  </si>
  <si>
    <t>00001-00000063</t>
  </si>
  <si>
    <t>00001-00000406</t>
  </si>
  <si>
    <t>00001-00000065</t>
  </si>
  <si>
    <t>00001-00000392</t>
  </si>
  <si>
    <t>00001-00000401</t>
  </si>
  <si>
    <t>00001-00000393</t>
  </si>
  <si>
    <t>00001-00000394</t>
  </si>
  <si>
    <t>00001-00000066</t>
  </si>
  <si>
    <t>00001-00000391</t>
  </si>
  <si>
    <t>00001-00000069</t>
  </si>
  <si>
    <t>00001-00000067</t>
  </si>
  <si>
    <t>00001-00000072</t>
  </si>
  <si>
    <t>00001-00000395</t>
  </si>
  <si>
    <t>00001-00000080</t>
  </si>
  <si>
    <t>00001-00000081</t>
  </si>
  <si>
    <t>00001-00000084</t>
  </si>
  <si>
    <t>00001-00000418</t>
  </si>
  <si>
    <t>00001-00000396</t>
  </si>
  <si>
    <t>00001-00000071</t>
  </si>
  <si>
    <t>00001-00000397</t>
  </si>
  <si>
    <t>00001-00000070</t>
  </si>
  <si>
    <t>00001-00000073</t>
  </si>
  <si>
    <t>00001-00000076</t>
  </si>
  <si>
    <t>00001-00000399</t>
  </si>
  <si>
    <t>00001-00000403</t>
  </si>
  <si>
    <t>00001-00000077</t>
  </si>
  <si>
    <t>00001-00000078</t>
  </si>
  <si>
    <t>00001-00000075</t>
  </si>
  <si>
    <t>00001-00000079</t>
  </si>
  <si>
    <t>00001-00000407</t>
  </si>
  <si>
    <t>00001-00000411</t>
  </si>
  <si>
    <t>00001-00000082</t>
  </si>
  <si>
    <t>00001-00000408</t>
  </si>
  <si>
    <t>00001-00000409</t>
  </si>
  <si>
    <t>00001-00000410</t>
  </si>
  <si>
    <t>00001-00000413</t>
  </si>
  <si>
    <t>00001-00000412</t>
  </si>
  <si>
    <t>00001-00000416</t>
  </si>
  <si>
    <t>00001-00000417</t>
  </si>
  <si>
    <t>00001-00000083</t>
  </si>
  <si>
    <t>00001-00000419</t>
  </si>
  <si>
    <t>00001-00000434</t>
  </si>
  <si>
    <t>00001-00000085</t>
  </si>
  <si>
    <t>00001-00000086</t>
  </si>
  <si>
    <t>00001-00000436</t>
  </si>
  <si>
    <t>00001-00000087</t>
  </si>
  <si>
    <t>00001-00000088</t>
  </si>
  <si>
    <t>00001-00000089</t>
  </si>
  <si>
    <t>00001-00000090</t>
  </si>
  <si>
    <t>00001-00000092</t>
  </si>
  <si>
    <t>00001-00000433</t>
  </si>
  <si>
    <t>00001-00000094</t>
  </si>
  <si>
    <t>00001-00000099</t>
  </si>
  <si>
    <t>Central Térmica Loma de la Lata</t>
  </si>
  <si>
    <t>25466</t>
  </si>
  <si>
    <t>00001-00000435</t>
  </si>
  <si>
    <t>00001-00000095</t>
  </si>
  <si>
    <t>00001-00000097</t>
  </si>
  <si>
    <t>00001-00000093</t>
  </si>
  <si>
    <t>00001-00000096</t>
  </si>
  <si>
    <t>Tempstar</t>
  </si>
  <si>
    <t>HR3</t>
  </si>
  <si>
    <t>O48GM</t>
  </si>
  <si>
    <t>00001-00000432</t>
  </si>
  <si>
    <t>BGL 168</t>
  </si>
  <si>
    <t>R63G8</t>
  </si>
  <si>
    <t>00001-00000098</t>
  </si>
  <si>
    <t>Access point</t>
  </si>
  <si>
    <t>Ubiquiti UniFi</t>
  </si>
  <si>
    <t>U6 Pro</t>
  </si>
  <si>
    <t>E43883679</t>
  </si>
  <si>
    <t>Smart TV 50"</t>
  </si>
  <si>
    <t>DWLED-50FHD</t>
  </si>
  <si>
    <t>146040</t>
  </si>
  <si>
    <t>Capitalinas Bariloche</t>
  </si>
  <si>
    <t>Panel táctil botonera ascensor</t>
  </si>
  <si>
    <t>Thyssenkrupp</t>
  </si>
  <si>
    <t>3X.6051.MG.5 (KVY341)</t>
  </si>
  <si>
    <t>0102973001518143966</t>
  </si>
  <si>
    <t>00001-00000439</t>
  </si>
  <si>
    <t>01062973001532143968</t>
  </si>
  <si>
    <t>010629730015171443966</t>
  </si>
  <si>
    <t>01062973001518143960</t>
  </si>
  <si>
    <t>10/650624</t>
  </si>
  <si>
    <t>00001-00000437</t>
  </si>
  <si>
    <t>U3JCT</t>
  </si>
  <si>
    <t>00001-00000438</t>
  </si>
  <si>
    <t>Impresora multifunción láser</t>
  </si>
  <si>
    <t>Ricoh</t>
  </si>
  <si>
    <t>M320F</t>
  </si>
  <si>
    <t>5852Z630511</t>
  </si>
  <si>
    <t>Carlos Cubau</t>
  </si>
  <si>
    <t>UPS 1,1 kVA</t>
  </si>
  <si>
    <t>BX1100C-AR</t>
  </si>
  <si>
    <t>3B1226X33717</t>
  </si>
  <si>
    <t>UPS 350VA</t>
  </si>
  <si>
    <t>BK350EI</t>
  </si>
  <si>
    <t>4B1145P15035</t>
  </si>
  <si>
    <t>Campichuelo 690</t>
  </si>
  <si>
    <t>5/42780</t>
  </si>
  <si>
    <t>11082945</t>
  </si>
  <si>
    <t>AMPC-GAL1 MCU STD MED FF C&amp;M (CLAS 24FF)</t>
  </si>
  <si>
    <t>091316HG2908</t>
  </si>
  <si>
    <t>Julio Piacentini</t>
  </si>
  <si>
    <t>Eduardo Taglia</t>
  </si>
  <si>
    <t>CP30</t>
  </si>
  <si>
    <t>V31OB</t>
  </si>
  <si>
    <t>Enrique Clausen</t>
  </si>
  <si>
    <t>Sintoamplificador</t>
  </si>
  <si>
    <t>Yamaha</t>
  </si>
  <si>
    <t>RX-V585</t>
  </si>
  <si>
    <t>Y365809WY</t>
  </si>
  <si>
    <t>HAGC30-CK02 (SUMMA)</t>
  </si>
  <si>
    <t>002210025200872</t>
  </si>
  <si>
    <t>FCH2Q</t>
  </si>
  <si>
    <t>Silvana TV Samsung 40</t>
  </si>
  <si>
    <t>UN40JU6000GCZB</t>
  </si>
  <si>
    <t>ZZF736FGA26296P</t>
  </si>
  <si>
    <t xml:space="preserve">Inversor / Cargador Solar 5KW 48V </t>
  </si>
  <si>
    <t xml:space="preserve">Placa Fuente Horno </t>
  </si>
  <si>
    <t>Wictory LTedesco (INOVA)</t>
  </si>
  <si>
    <t>INV-6803-01/1</t>
  </si>
  <si>
    <t>103022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</si>
</sst>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_ * #,##0_ ;_ * \-#,##0_ ;_ * &quot;-&quot;??_ ;_ @_ "/>
    <numFmt numFmtId="168" formatCode="[$USD]\ #,##0"/>
    <numFmt numFmtId="169" formatCode="&quot;$&quot;\ #,##0.00"/>
    <numFmt numFmtId="170" formatCode="_ &quot;$&quot;\ * #,##0_ ;_ &quot;$&quot;\ * \-#,##0_ ;_ &quot;$&quot;\ * &quot;-&quot;??_ ;_ @_ "/>
    <numFmt numFmtId="171" formatCode="&quot;$&quot;#,##0"/>
    <numFmt numFmtId="172" formatCode="&quot;$&quot;#,##0;\-&quot;$&quot;#,##0"/>
    <numFmt numFmtId="173" formatCode="\U&quot;$&quot;\ #,##0;\U&quot;$&quot;\ \-#,##0"/>
    <numFmt numFmtId="174" formatCode="_-[$USS]\ * #,##0.00_-;\-[$USS]\ * #,##0.00_-;_-[$USS]\ * &quot;-&quot;??_-;_-@_-"/>
    <numFmt numFmtId="175" formatCode="&quot;$&quot;\ #,##0"/>
    <numFmt numFmtId="176" formatCode="dd/mm/yyyy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b/>
      <sz val="10"/>
      <color indexed="4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9"/>
      <color indexed="8"/>
      <name val="Calibri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8" fontId="2" fillId="0" borderId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2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2" fillId="0" borderId="0"/>
    <xf numFmtId="168" fontId="2" fillId="0" borderId="0"/>
    <xf numFmtId="168" fontId="2" fillId="0" borderId="0"/>
    <xf numFmtId="166" fontId="4" fillId="0" borderId="0" applyFont="0" applyFill="0" applyBorder="0" applyAlignment="0" applyProtection="0"/>
    <xf numFmtId="168" fontId="2" fillId="0" borderId="0"/>
    <xf numFmtId="0" fontId="3" fillId="0" borderId="0"/>
    <xf numFmtId="168" fontId="2" fillId="0" borderId="0"/>
    <xf numFmtId="166" fontId="4" fillId="0" borderId="0" applyFont="0" applyFill="0" applyBorder="0" applyAlignment="0" applyProtection="0"/>
    <xf numFmtId="168" fontId="2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2" fillId="0" borderId="0"/>
    <xf numFmtId="166" fontId="4" fillId="0" borderId="0" applyFont="0" applyFill="0" applyBorder="0" applyAlignment="0" applyProtection="0"/>
    <xf numFmtId="168" fontId="2" fillId="0" borderId="0"/>
    <xf numFmtId="168" fontId="2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2" fillId="0" borderId="0"/>
    <xf numFmtId="166" fontId="4" fillId="0" borderId="0" applyFont="0" applyFill="0" applyBorder="0" applyAlignment="0" applyProtection="0"/>
    <xf numFmtId="168" fontId="2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2" fillId="0" borderId="0"/>
    <xf numFmtId="168" fontId="2" fillId="0" borderId="0"/>
    <xf numFmtId="168" fontId="2" fillId="0" borderId="0"/>
    <xf numFmtId="166" fontId="4" fillId="0" borderId="0" applyFont="0" applyFill="0" applyBorder="0" applyAlignment="0" applyProtection="0"/>
    <xf numFmtId="168" fontId="2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2" fillId="0" borderId="0"/>
    <xf numFmtId="166" fontId="4" fillId="0" borderId="0" applyFont="0" applyFill="0" applyBorder="0" applyAlignment="0" applyProtection="0"/>
    <xf numFmtId="168" fontId="2" fillId="0" borderId="0"/>
    <xf numFmtId="166" fontId="4" fillId="0" borderId="0" applyFont="0" applyFill="0" applyBorder="0" applyAlignment="0" applyProtection="0"/>
  </cellStyleXfs>
  <cellXfs count="87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44" fontId="0" fillId="0" borderId="0" xfId="2" applyFont="1"/>
    <xf numFmtId="3" fontId="0" fillId="0" borderId="0" xfId="0" applyNumberFormat="1"/>
    <xf numFmtId="169" fontId="0" fillId="0" borderId="0" xfId="0" applyNumberFormat="1"/>
    <xf numFmtId="167" fontId="4" fillId="0" borderId="0" xfId="1" applyNumberFormat="1" applyFont="1"/>
    <xf numFmtId="0" fontId="5" fillId="3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4" fontId="0" fillId="0" borderId="0" xfId="0" applyNumberFormat="1"/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4" borderId="1" xfId="0" applyFont="1" applyFill="1" applyBorder="1"/>
    <xf numFmtId="0" fontId="7" fillId="0" borderId="0" xfId="0" applyFont="1"/>
    <xf numFmtId="167" fontId="7" fillId="0" borderId="0" xfId="1" applyNumberFormat="1" applyFont="1"/>
    <xf numFmtId="4" fontId="8" fillId="5" borderId="6" xfId="0" applyNumberFormat="1" applyFont="1" applyFill="1" applyBorder="1"/>
    <xf numFmtId="171" fontId="8" fillId="5" borderId="6" xfId="0" applyNumberFormat="1" applyFont="1" applyFill="1" applyBorder="1"/>
    <xf numFmtId="0" fontId="0" fillId="4" borderId="6" xfId="0" applyFill="1" applyBorder="1"/>
    <xf numFmtId="172" fontId="0" fillId="4" borderId="6" xfId="0" applyNumberFormat="1" applyFill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174" fontId="0" fillId="0" borderId="0" xfId="2" applyNumberFormat="1" applyFont="1" applyAlignment="1">
      <alignment horizontal="center"/>
    </xf>
    <xf numFmtId="0" fontId="10" fillId="2" borderId="2" xfId="0" applyFont="1" applyFill="1" applyBorder="1" applyAlignment="1">
      <alignment horizontal="center" textRotation="90"/>
    </xf>
    <xf numFmtId="0" fontId="11" fillId="2" borderId="2" xfId="0" applyFont="1" applyFill="1" applyBorder="1" applyAlignment="1">
      <alignment horizontal="center" textRotation="90"/>
    </xf>
    <xf numFmtId="169" fontId="10" fillId="2" borderId="2" xfId="0" applyNumberFormat="1" applyFont="1" applyFill="1" applyBorder="1" applyAlignment="1">
      <alignment horizontal="center" textRotation="90"/>
    </xf>
    <xf numFmtId="0" fontId="9" fillId="2" borderId="1" xfId="0" applyFont="1" applyFill="1" applyBorder="1" applyAlignment="1">
      <alignment horizontal="center" vertical="center"/>
    </xf>
    <xf numFmtId="170" fontId="5" fillId="0" borderId="11" xfId="6" applyNumberFormat="1" applyFont="1" applyBorder="1" applyAlignment="1">
      <alignment vertical="center"/>
    </xf>
    <xf numFmtId="170" fontId="6" fillId="0" borderId="11" xfId="6" applyNumberFormat="1" applyFont="1" applyBorder="1" applyAlignment="1">
      <alignment vertical="center"/>
    </xf>
    <xf numFmtId="167" fontId="5" fillId="0" borderId="11" xfId="4" applyNumberFormat="1" applyFont="1" applyBorder="1" applyAlignment="1">
      <alignment vertical="center"/>
    </xf>
    <xf numFmtId="167" fontId="5" fillId="0" borderId="6" xfId="4" applyNumberFormat="1" applyFont="1" applyBorder="1" applyAlignment="1">
      <alignment vertical="center"/>
    </xf>
    <xf numFmtId="167" fontId="5" fillId="3" borderId="1" xfId="4" applyNumberFormat="1" applyFont="1" applyFill="1" applyBorder="1" applyAlignment="1">
      <alignment horizontal="center" vertical="top" wrapText="1"/>
    </xf>
    <xf numFmtId="167" fontId="5" fillId="3" borderId="9" xfId="4" applyNumberFormat="1" applyFont="1" applyFill="1" applyBorder="1" applyAlignment="1">
      <alignment horizontal="center" vertical="top" wrapText="1"/>
    </xf>
    <xf numFmtId="170" fontId="5" fillId="0" borderId="12" xfId="6" applyNumberFormat="1" applyFont="1" applyBorder="1" applyAlignment="1">
      <alignment vertical="center"/>
    </xf>
    <xf numFmtId="167" fontId="5" fillId="0" borderId="8" xfId="4" applyNumberFormat="1" applyFont="1" applyBorder="1" applyAlignment="1">
      <alignment vertical="center"/>
    </xf>
    <xf numFmtId="170" fontId="5" fillId="4" borderId="3" xfId="6" applyNumberFormat="1" applyFont="1" applyFill="1" applyBorder="1"/>
    <xf numFmtId="170" fontId="6" fillId="4" borderId="1" xfId="6" applyNumberFormat="1" applyFont="1" applyFill="1" applyBorder="1"/>
    <xf numFmtId="167" fontId="5" fillId="4" borderId="2" xfId="4" applyNumberFormat="1" applyFont="1" applyFill="1" applyBorder="1" applyAlignment="1">
      <alignment vertical="center"/>
    </xf>
    <xf numFmtId="170" fontId="5" fillId="4" borderId="13" xfId="6" applyNumberFormat="1" applyFont="1" applyFill="1" applyBorder="1" applyAlignment="1">
      <alignment vertical="center"/>
    </xf>
    <xf numFmtId="170" fontId="5" fillId="4" borderId="14" xfId="6" applyNumberFormat="1" applyFont="1" applyFill="1" applyBorder="1" applyAlignment="1">
      <alignment vertical="center"/>
    </xf>
    <xf numFmtId="167" fontId="12" fillId="2" borderId="2" xfId="4" applyNumberFormat="1" applyFont="1" applyFill="1" applyBorder="1" applyAlignment="1">
      <alignment horizontal="center" textRotation="90"/>
    </xf>
    <xf numFmtId="167" fontId="11" fillId="0" borderId="6" xfId="4" applyNumberFormat="1" applyFont="1" applyBorder="1"/>
    <xf numFmtId="167" fontId="11" fillId="0" borderId="8" xfId="4" applyNumberFormat="1" applyFont="1" applyBorder="1"/>
    <xf numFmtId="169" fontId="11" fillId="0" borderId="6" xfId="4" applyNumberFormat="1" applyFont="1" applyBorder="1"/>
    <xf numFmtId="169" fontId="13" fillId="0" borderId="4" xfId="4" applyNumberFormat="1" applyFont="1" applyBorder="1"/>
    <xf numFmtId="169" fontId="11" fillId="0" borderId="8" xfId="4" applyNumberFormat="1" applyFont="1" applyBorder="1"/>
    <xf numFmtId="169" fontId="13" fillId="0" borderId="7" xfId="4" applyNumberFormat="1" applyFont="1" applyBorder="1"/>
    <xf numFmtId="175" fontId="11" fillId="0" borderId="5" xfId="4" applyNumberFormat="1" applyFont="1" applyBorder="1"/>
    <xf numFmtId="175" fontId="11" fillId="0" borderId="6" xfId="4" applyNumberFormat="1" applyFont="1" applyBorder="1"/>
    <xf numFmtId="175" fontId="11" fillId="0" borderId="8" xfId="4" applyNumberFormat="1" applyFont="1" applyBorder="1"/>
    <xf numFmtId="0" fontId="10" fillId="2" borderId="3" xfId="0" applyFont="1" applyFill="1" applyBorder="1" applyAlignment="1">
      <alignment horizontal="center" textRotation="90"/>
    </xf>
    <xf numFmtId="0" fontId="10" fillId="2" borderId="1" xfId="0" applyFont="1" applyFill="1" applyBorder="1" applyAlignment="1">
      <alignment horizontal="center" textRotation="90"/>
    </xf>
    <xf numFmtId="0" fontId="11" fillId="2" borderId="4" xfId="0" applyFont="1" applyFill="1" applyBorder="1"/>
    <xf numFmtId="0" fontId="11" fillId="2" borderId="7" xfId="0" applyFont="1" applyFill="1" applyBorder="1"/>
    <xf numFmtId="3" fontId="9" fillId="0" borderId="1" xfId="0" applyNumberFormat="1" applyFont="1" applyBorder="1"/>
    <xf numFmtId="175" fontId="9" fillId="0" borderId="1" xfId="0" applyNumberFormat="1" applyFont="1" applyBorder="1"/>
    <xf numFmtId="169" fontId="9" fillId="0" borderId="10" xfId="0" applyNumberFormat="1" applyFont="1" applyBorder="1"/>
    <xf numFmtId="169" fontId="9" fillId="0" borderId="1" xfId="0" applyNumberFormat="1" applyFont="1" applyBorder="1"/>
    <xf numFmtId="14" fontId="0" fillId="0" borderId="0" xfId="0" applyNumberFormat="1"/>
    <xf numFmtId="176" fontId="0" fillId="0" borderId="0" xfId="0" applyNumberFormat="1" applyAlignment="1">
      <alignment horizontal="center"/>
    </xf>
    <xf numFmtId="173" fontId="5" fillId="0" borderId="11" xfId="6" applyNumberFormat="1" applyFont="1" applyBorder="1" applyAlignment="1">
      <alignment vertical="center"/>
    </xf>
    <xf numFmtId="9" fontId="0" fillId="0" borderId="1" xfId="0" applyNumberFormat="1" applyBorder="1" applyAlignment="1">
      <alignment horizontal="center"/>
    </xf>
    <xf numFmtId="9" fontId="5" fillId="0" borderId="11" xfId="7" applyFont="1" applyBorder="1" applyAlignment="1">
      <alignment horizontal="center" vertical="center"/>
    </xf>
    <xf numFmtId="9" fontId="5" fillId="0" borderId="6" xfId="7" applyFont="1" applyBorder="1" applyAlignment="1">
      <alignment horizontal="center" vertical="center"/>
    </xf>
    <xf numFmtId="9" fontId="5" fillId="0" borderId="8" xfId="7" applyFont="1" applyBorder="1" applyAlignment="1">
      <alignment horizontal="center" vertical="center"/>
    </xf>
    <xf numFmtId="9" fontId="5" fillId="4" borderId="2" xfId="7" applyFont="1" applyFill="1" applyBorder="1" applyAlignment="1">
      <alignment horizontal="center" vertical="center"/>
    </xf>
    <xf numFmtId="167" fontId="5" fillId="0" borderId="11" xfId="4" applyNumberFormat="1" applyFont="1" applyBorder="1" applyAlignment="1">
      <alignment horizontal="center" vertical="center"/>
    </xf>
    <xf numFmtId="167" fontId="5" fillId="4" borderId="3" xfId="4" applyNumberFormat="1" applyFont="1" applyFill="1" applyBorder="1" applyAlignment="1">
      <alignment horizontal="center"/>
    </xf>
    <xf numFmtId="175" fontId="11" fillId="0" borderId="5" xfId="24" applyNumberFormat="1" applyFont="1" applyBorder="1"/>
    <xf numFmtId="175" fontId="11" fillId="0" borderId="6" xfId="24" applyNumberFormat="1" applyFont="1" applyBorder="1"/>
    <xf numFmtId="175" fontId="11" fillId="0" borderId="6" xfId="27" applyNumberFormat="1" applyFont="1" applyBorder="1"/>
    <xf numFmtId="175" fontId="11" fillId="0" borderId="6" xfId="37" applyNumberFormat="1" applyFont="1" applyBorder="1"/>
    <xf numFmtId="175" fontId="11" fillId="0" borderId="8" xfId="37" applyNumberFormat="1" applyFont="1" applyBorder="1"/>
    <xf numFmtId="175" fontId="11" fillId="0" borderId="6" xfId="39" applyNumberFormat="1" applyFont="1" applyBorder="1"/>
    <xf numFmtId="175" fontId="11" fillId="0" borderId="8" xfId="39" applyNumberFormat="1" applyFont="1" applyBorder="1"/>
    <xf numFmtId="175" fontId="11" fillId="0" borderId="6" xfId="33" applyNumberFormat="1" applyFont="1" applyBorder="1"/>
    <xf numFmtId="167" fontId="12" fillId="2" borderId="2" xfId="24" applyNumberFormat="1" applyFont="1" applyFill="1" applyBorder="1" applyAlignment="1">
      <alignment horizontal="center" textRotation="90"/>
    </xf>
    <xf numFmtId="169" fontId="11" fillId="0" borderId="6" xfId="24" applyNumberFormat="1" applyFont="1" applyBorder="1"/>
    <xf numFmtId="167" fontId="11" fillId="0" borderId="6" xfId="24" applyNumberFormat="1" applyFont="1" applyBorder="1"/>
    <xf numFmtId="169" fontId="13" fillId="0" borderId="4" xfId="24" applyNumberFormat="1" applyFont="1" applyBorder="1"/>
    <xf numFmtId="175" fontId="11" fillId="0" borderId="8" xfId="24" applyNumberFormat="1" applyFont="1" applyBorder="1"/>
    <xf numFmtId="169" fontId="11" fillId="0" borderId="8" xfId="24" applyNumberFormat="1" applyFont="1" applyBorder="1"/>
    <xf numFmtId="167" fontId="11" fillId="0" borderId="8" xfId="24" applyNumberFormat="1" applyFont="1" applyBorder="1"/>
    <xf numFmtId="169" fontId="13" fillId="0" borderId="7" xfId="24" applyNumberFormat="1" applyFont="1" applyBorder="1"/>
    <xf numFmtId="168" fontId="2" fillId="0" borderId="0" xfId="43"/>
    <xf numFmtId="44" fontId="0" fillId="0" borderId="0" xfId="2" applyNumberFormat="1" applyFont="1" applyAlignment="1">
      <alignment horizontal="center"/>
    </xf>
    <xf numFmtId="0" fontId="0" fillId="0" borderId="0" xfId="0" applyNumberFormat="1"/>
  </cellXfs>
  <cellStyles count="45">
    <cellStyle name="Millares" xfId="1" builtinId="3"/>
    <cellStyle name="Millares [0] 2" xfId="5" xr:uid="{00000000-0005-0000-0000-000001000000}"/>
    <cellStyle name="Millares 10" xfId="24" xr:uid="{E5C66940-0394-436D-963E-CC0A5EEC8630}"/>
    <cellStyle name="Millares 11" xfId="27" xr:uid="{774B5D5E-EEAA-48DE-8176-434BFE29ADF7}"/>
    <cellStyle name="Millares 12" xfId="28" xr:uid="{9E16B868-E802-434B-B560-68D2676F4471}"/>
    <cellStyle name="Millares 13" xfId="30" xr:uid="{1124CFD6-76CD-4D55-882D-D545CE96F26E}"/>
    <cellStyle name="Millares 14" xfId="32" xr:uid="{93985EED-64C7-41E3-916B-D252FA30AC4A}"/>
    <cellStyle name="Millares 15" xfId="37" xr:uid="{AEF37BA0-05FF-4DCD-8259-40E7F681214F}"/>
    <cellStyle name="Millares 16" xfId="39" xr:uid="{62BCE357-CDF2-462F-B07B-3E0E3B81521F}"/>
    <cellStyle name="Millares 17" xfId="33" xr:uid="{2D4D44B6-FB01-48B8-995C-4E5514CA3202}"/>
    <cellStyle name="Millares 18" xfId="40" xr:uid="{ABFE2656-3B81-44CC-A87E-97E96C22AEE8}"/>
    <cellStyle name="Millares 19" xfId="42" xr:uid="{4B14831E-B1B6-450E-9A66-9D32EFC6CEB8}"/>
    <cellStyle name="Millares 2" xfId="4" xr:uid="{00000000-0005-0000-0000-000002000000}"/>
    <cellStyle name="Millares 20" xfId="44" xr:uid="{C574ED44-2C4D-4483-B11E-A5C34F0C054D}"/>
    <cellStyle name="Millares 3" xfId="9" xr:uid="{5014BD57-946C-4CB1-96FB-8A7B815F60A7}"/>
    <cellStyle name="Millares 4" xfId="10" xr:uid="{D89B79C5-EB40-419D-9912-516821C4601F}"/>
    <cellStyle name="Millares 5" xfId="18" xr:uid="{DDFBC36B-10AD-4383-B3DA-60E88FD4CF80}"/>
    <cellStyle name="Millares 6" xfId="20" xr:uid="{82B23ECE-D0AA-47E3-A1CA-4C4F991EA48A}"/>
    <cellStyle name="Millares 7" xfId="21" xr:uid="{18B8532B-71C0-47B5-8899-2D0D6DA4039C}"/>
    <cellStyle name="Millares 8" xfId="22" xr:uid="{5409D64E-2500-4322-8B04-524C2960D965}"/>
    <cellStyle name="Millares 9" xfId="14" xr:uid="{C72123C0-97AA-498B-A022-2BC650833A8E}"/>
    <cellStyle name="Moneda" xfId="2" builtinId="4"/>
    <cellStyle name="Moneda 2" xfId="6" xr:uid="{00000000-0005-0000-0000-000004000000}"/>
    <cellStyle name="Normal" xfId="0" builtinId="0"/>
    <cellStyle name="Normal 10" xfId="23" xr:uid="{889FB2D6-AF81-46F0-A694-68363F1B5A24}"/>
    <cellStyle name="Normal 11" xfId="25" xr:uid="{A532287F-FF74-4D85-9531-752406ACD153}"/>
    <cellStyle name="Normal 12" xfId="26" xr:uid="{4480BF83-D8F5-4E85-8C0E-DFB3A9E28319}"/>
    <cellStyle name="Normal 13" xfId="29" xr:uid="{8D8A8AC6-9328-4FFC-AA5E-D5FEF248183D}"/>
    <cellStyle name="Normal 14" xfId="31" xr:uid="{78B83A2B-223D-4928-9E24-38717C20B6C0}"/>
    <cellStyle name="Normal 15" xfId="35" xr:uid="{E329A438-A18D-4CF1-9CF6-9753DCA3B5A0}"/>
    <cellStyle name="Normal 16" xfId="36" xr:uid="{16201694-6287-463A-88D7-B98955EA38BF}"/>
    <cellStyle name="Normal 17" xfId="34" xr:uid="{35388A73-4C2D-44E6-8940-A6ABA9A51240}"/>
    <cellStyle name="Normal 18" xfId="38" xr:uid="{D006EC68-A5F8-43A9-9465-FE90ACC4CDC2}"/>
    <cellStyle name="Normal 19" xfId="41" xr:uid="{1B101D52-47F7-4C8A-96AB-827FB311BCB4}"/>
    <cellStyle name="Normal 2" xfId="3" xr:uid="{00000000-0005-0000-0000-000006000000}"/>
    <cellStyle name="Normal 2 2" xfId="16" xr:uid="{F04FCB19-802A-4A82-9318-4D5F66EDF8F2}"/>
    <cellStyle name="Normal 20" xfId="43" xr:uid="{758502F5-7027-4A4E-AA06-B73A466D160A}"/>
    <cellStyle name="Normal 3" xfId="8" xr:uid="{DC652780-82D9-45F8-8230-6C58FC4DF554}"/>
    <cellStyle name="Normal 4" xfId="11" xr:uid="{C4F03CC1-30E8-4F24-8A49-4FFF0FE80E7A}"/>
    <cellStyle name="Normal 5" xfId="12" xr:uid="{79D0D24E-9036-4A8A-BC8E-7536E545C062}"/>
    <cellStyle name="Normal 6" xfId="17" xr:uid="{B16AC9C4-07C2-4508-846D-90E72EB7902C}"/>
    <cellStyle name="Normal 7" xfId="15" xr:uid="{974FF9A7-E9D5-47C6-A442-8781E0271CC0}"/>
    <cellStyle name="Normal 8" xfId="13" xr:uid="{0049A736-AD41-462E-A41B-67D4835C6D04}"/>
    <cellStyle name="Normal 9" xfId="19" xr:uid="{C98B0699-71FD-47C9-8E20-A867D83F76A6}"/>
    <cellStyle name="Porcentaje 2" xfId="7" xr:uid="{00000000-0005-0000-0000-000007000000}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9" formatCode="&quot;$&quot;\ #,##0.00"/>
    </dxf>
    <dxf>
      <numFmt numFmtId="0" formatCode="General"/>
    </dxf>
    <dxf>
      <numFmt numFmtId="0" formatCode="General"/>
    </dxf>
    <dxf>
      <numFmt numFmtId="169" formatCode="&quot;$&quot;\ #,##0.00"/>
    </dxf>
    <dxf>
      <alignment horizontal="center" vertical="bottom" textRotation="0" wrapText="0" indent="0" justifyLastLine="0" shrinkToFit="0" readingOrder="0"/>
    </dxf>
    <dxf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4" formatCode="_-[$USS]\ * #,##0.00_-;\-[$USS]\ * #,##0.00_-;_-[$USS]\ * &quot;-&quot;??_-;_-@_-"/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6" formatCode="dd/mm/yyyy"/>
      <alignment horizontal="center" vertical="bottom" textRotation="0" wrapText="0" indent="0" justifyLastLine="0" shrinkToFit="0" readingOrder="0"/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9"/>
      <tableStyleElement type="headerRow" dxfId="3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connections" Target="connection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s/Bariloche/Administracion/Sistema/Excels/Detalle%20gastos%20202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ls/Bariloche/Administracion/Sistema/Excels/Detalle%20gastos%20202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ls/Bariloche/Administracion/Sistema/Excels/Detalle%20gastos%20202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etalle%20gastos%20202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aja%20BR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estra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</sheetNames>
    <sheetDataSet>
      <sheetData sheetId="0"/>
      <sheetData sheetId="1">
        <row r="5">
          <cell r="D5">
            <v>4100</v>
          </cell>
        </row>
        <row r="8">
          <cell r="D8">
            <v>2600</v>
          </cell>
        </row>
        <row r="9">
          <cell r="D9">
            <v>1300</v>
          </cell>
        </row>
        <row r="10">
          <cell r="D10">
            <v>800</v>
          </cell>
        </row>
        <row r="58">
          <cell r="C58">
            <v>13729.76</v>
          </cell>
        </row>
      </sheetData>
      <sheetData sheetId="2">
        <row r="5">
          <cell r="D5">
            <v>6500</v>
          </cell>
        </row>
        <row r="7">
          <cell r="D7">
            <v>215940</v>
          </cell>
        </row>
        <row r="8">
          <cell r="D8">
            <v>2600</v>
          </cell>
        </row>
        <row r="9">
          <cell r="D9">
            <v>2600</v>
          </cell>
        </row>
        <row r="10">
          <cell r="D10">
            <v>800</v>
          </cell>
        </row>
        <row r="58">
          <cell r="C58">
            <v>162908.07</v>
          </cell>
        </row>
      </sheetData>
      <sheetData sheetId="3">
        <row r="5">
          <cell r="D5">
            <v>6500</v>
          </cell>
        </row>
        <row r="7">
          <cell r="D7">
            <v>254810</v>
          </cell>
        </row>
        <row r="8">
          <cell r="D8">
            <v>2600</v>
          </cell>
        </row>
        <row r="9">
          <cell r="D9">
            <v>2600</v>
          </cell>
        </row>
        <row r="10">
          <cell r="D10">
            <v>1600</v>
          </cell>
        </row>
        <row r="58">
          <cell r="C58">
            <v>69024.19</v>
          </cell>
        </row>
      </sheetData>
      <sheetData sheetId="4">
        <row r="5">
          <cell r="D5">
            <v>12350</v>
          </cell>
        </row>
        <row r="7">
          <cell r="D7">
            <v>300700</v>
          </cell>
        </row>
        <row r="8">
          <cell r="D8">
            <v>2600</v>
          </cell>
        </row>
        <row r="9">
          <cell r="D9">
            <v>2600</v>
          </cell>
        </row>
        <row r="10">
          <cell r="D10">
            <v>1600</v>
          </cell>
        </row>
        <row r="58">
          <cell r="C58">
            <v>31252.73</v>
          </cell>
        </row>
      </sheetData>
      <sheetData sheetId="5">
        <row r="5">
          <cell r="D5">
            <v>13215</v>
          </cell>
        </row>
        <row r="7">
          <cell r="D7">
            <v>330740</v>
          </cell>
        </row>
        <row r="8">
          <cell r="D8">
            <v>4700</v>
          </cell>
        </row>
        <row r="9">
          <cell r="D9">
            <v>2600</v>
          </cell>
        </row>
        <row r="10">
          <cell r="D10">
            <v>1600</v>
          </cell>
        </row>
        <row r="60">
          <cell r="C60">
            <v>309378.47000000003</v>
          </cell>
        </row>
      </sheetData>
      <sheetData sheetId="6">
        <row r="5">
          <cell r="D5">
            <v>15000</v>
          </cell>
        </row>
        <row r="7">
          <cell r="D7">
            <v>363810</v>
          </cell>
        </row>
        <row r="8">
          <cell r="D8">
            <v>4700</v>
          </cell>
        </row>
        <row r="9">
          <cell r="D9">
            <v>2600</v>
          </cell>
        </row>
        <row r="10">
          <cell r="D10">
            <v>1600</v>
          </cell>
        </row>
        <row r="58">
          <cell r="C58">
            <v>195581.22999999998</v>
          </cell>
        </row>
      </sheetData>
      <sheetData sheetId="7">
        <row r="5">
          <cell r="D5">
            <v>25000</v>
          </cell>
        </row>
        <row r="7">
          <cell r="D7">
            <v>400200</v>
          </cell>
        </row>
        <row r="8">
          <cell r="D8">
            <v>16500</v>
          </cell>
        </row>
        <row r="9">
          <cell r="D9">
            <v>2600</v>
          </cell>
        </row>
        <row r="10">
          <cell r="D10">
            <v>1600</v>
          </cell>
        </row>
        <row r="58">
          <cell r="C58">
            <v>169177.97</v>
          </cell>
        </row>
      </sheetData>
      <sheetData sheetId="8">
        <row r="5">
          <cell r="D5">
            <v>27500</v>
          </cell>
        </row>
        <row r="7">
          <cell r="D7">
            <v>400200</v>
          </cell>
        </row>
        <row r="8">
          <cell r="D8">
            <v>16500</v>
          </cell>
        </row>
        <row r="9">
          <cell r="D9">
            <v>2600</v>
          </cell>
        </row>
        <row r="10">
          <cell r="D10">
            <v>1600</v>
          </cell>
        </row>
        <row r="58">
          <cell r="C58">
            <v>593043</v>
          </cell>
        </row>
      </sheetData>
      <sheetData sheetId="9">
        <row r="5">
          <cell r="D5">
            <v>33000</v>
          </cell>
        </row>
        <row r="7">
          <cell r="D7">
            <v>400200</v>
          </cell>
        </row>
        <row r="8">
          <cell r="D8">
            <v>19800</v>
          </cell>
        </row>
        <row r="9">
          <cell r="D9">
            <v>2600</v>
          </cell>
        </row>
        <row r="10">
          <cell r="D10">
            <v>1600</v>
          </cell>
        </row>
        <row r="58">
          <cell r="C58">
            <v>353258.95</v>
          </cell>
        </row>
      </sheetData>
      <sheetData sheetId="10">
        <row r="5">
          <cell r="D5">
            <v>33000</v>
          </cell>
        </row>
        <row r="6">
          <cell r="D6">
            <v>12000</v>
          </cell>
        </row>
        <row r="7">
          <cell r="D7">
            <v>400200</v>
          </cell>
        </row>
        <row r="8">
          <cell r="D8">
            <v>19800</v>
          </cell>
        </row>
        <row r="9">
          <cell r="D9">
            <v>2600</v>
          </cell>
        </row>
        <row r="10">
          <cell r="D10">
            <v>1600</v>
          </cell>
        </row>
        <row r="58">
          <cell r="C58">
            <v>304092.08</v>
          </cell>
        </row>
      </sheetData>
      <sheetData sheetId="11">
        <row r="5">
          <cell r="D5">
            <v>33000</v>
          </cell>
        </row>
        <row r="6">
          <cell r="D6">
            <v>12000</v>
          </cell>
        </row>
        <row r="7">
          <cell r="D7">
            <v>412206</v>
          </cell>
        </row>
        <row r="8">
          <cell r="D8">
            <v>19800</v>
          </cell>
        </row>
        <row r="9">
          <cell r="D9">
            <v>2600</v>
          </cell>
        </row>
        <row r="10">
          <cell r="D10">
            <v>2600</v>
          </cell>
        </row>
        <row r="58">
          <cell r="C58">
            <v>264846.26</v>
          </cell>
        </row>
      </sheetData>
      <sheetData sheetId="12">
        <row r="5">
          <cell r="D5">
            <v>35000</v>
          </cell>
        </row>
        <row r="6">
          <cell r="D6">
            <v>12000</v>
          </cell>
        </row>
        <row r="7">
          <cell r="D7">
            <v>861870</v>
          </cell>
        </row>
        <row r="8">
          <cell r="D8">
            <v>19800</v>
          </cell>
        </row>
        <row r="9">
          <cell r="D9">
            <v>2600</v>
          </cell>
        </row>
        <row r="10">
          <cell r="D10">
            <v>2600</v>
          </cell>
        </row>
        <row r="58">
          <cell r="C58">
            <v>55572.73000000001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estra"/>
      <sheetName val="Enero"/>
      <sheetName val="Febrero"/>
      <sheetName val="Marzo"/>
      <sheetName val="Abril"/>
      <sheetName val="Mayo"/>
      <sheetName val="Junio"/>
      <sheetName val="Agosto"/>
      <sheetName val="Julio"/>
      <sheetName val="Septiembre"/>
      <sheetName val="Octubre"/>
      <sheetName val="Noviembre"/>
      <sheetName val="Diciemb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estra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</sheetNames>
    <sheetDataSet>
      <sheetData sheetId="0"/>
      <sheetData sheetId="1">
        <row r="5">
          <cell r="D5">
            <v>36000</v>
          </cell>
        </row>
        <row r="6">
          <cell r="D6">
            <v>13500</v>
          </cell>
        </row>
        <row r="8">
          <cell r="D8">
            <v>19800</v>
          </cell>
        </row>
        <row r="9">
          <cell r="D9">
            <v>2600</v>
          </cell>
        </row>
        <row r="10">
          <cell r="D10">
            <v>3100</v>
          </cell>
        </row>
        <row r="58">
          <cell r="C58">
            <v>325599.20000000007</v>
          </cell>
        </row>
      </sheetData>
      <sheetData sheetId="2">
        <row r="5">
          <cell r="D5">
            <v>36000</v>
          </cell>
        </row>
        <row r="6">
          <cell r="D6">
            <v>13500</v>
          </cell>
        </row>
        <row r="7">
          <cell r="D7">
            <v>444000</v>
          </cell>
        </row>
        <row r="8">
          <cell r="D8">
            <v>19800</v>
          </cell>
        </row>
        <row r="9">
          <cell r="D9">
            <v>5000</v>
          </cell>
        </row>
        <row r="10">
          <cell r="D10">
            <v>3100</v>
          </cell>
        </row>
        <row r="58">
          <cell r="C58">
            <v>79883.809999999969</v>
          </cell>
        </row>
      </sheetData>
      <sheetData sheetId="3">
        <row r="5">
          <cell r="D5">
            <v>39500</v>
          </cell>
        </row>
        <row r="6">
          <cell r="D6">
            <v>13500</v>
          </cell>
        </row>
        <row r="7">
          <cell r="D7">
            <v>451000</v>
          </cell>
        </row>
        <row r="8">
          <cell r="D8">
            <v>16300</v>
          </cell>
        </row>
        <row r="9">
          <cell r="D9">
            <v>5000</v>
          </cell>
        </row>
        <row r="10">
          <cell r="D10">
            <v>3100</v>
          </cell>
        </row>
        <row r="58">
          <cell r="C58">
            <v>84314.89</v>
          </cell>
        </row>
      </sheetData>
      <sheetData sheetId="4">
        <row r="5">
          <cell r="D5">
            <v>39500</v>
          </cell>
        </row>
        <row r="6">
          <cell r="D6">
            <v>14800</v>
          </cell>
        </row>
        <row r="7">
          <cell r="D7">
            <v>458000</v>
          </cell>
        </row>
        <row r="8">
          <cell r="D8">
            <v>16300</v>
          </cell>
        </row>
        <row r="9">
          <cell r="D9">
            <v>5000</v>
          </cell>
        </row>
        <row r="10">
          <cell r="D10">
            <v>3100</v>
          </cell>
        </row>
        <row r="58">
          <cell r="C58">
            <v>207786.97</v>
          </cell>
        </row>
      </sheetData>
      <sheetData sheetId="5">
        <row r="5">
          <cell r="D5">
            <v>39500</v>
          </cell>
        </row>
        <row r="6">
          <cell r="D6">
            <v>14800</v>
          </cell>
        </row>
        <row r="7">
          <cell r="D7">
            <v>470000</v>
          </cell>
        </row>
        <row r="8">
          <cell r="D8">
            <v>19800</v>
          </cell>
        </row>
        <row r="9">
          <cell r="D9">
            <v>5000</v>
          </cell>
        </row>
        <row r="10">
          <cell r="D10">
            <v>3400</v>
          </cell>
        </row>
        <row r="58">
          <cell r="C58">
            <v>1290232.6399999999</v>
          </cell>
        </row>
      </sheetData>
      <sheetData sheetId="6">
        <row r="5">
          <cell r="D5">
            <v>43500</v>
          </cell>
        </row>
        <row r="6">
          <cell r="D6">
            <v>14800</v>
          </cell>
        </row>
        <row r="7">
          <cell r="D7">
            <v>482000</v>
          </cell>
        </row>
        <row r="8">
          <cell r="D8">
            <v>19800</v>
          </cell>
        </row>
        <row r="9">
          <cell r="D9">
            <v>5000</v>
          </cell>
        </row>
        <row r="10">
          <cell r="D10">
            <v>3400</v>
          </cell>
        </row>
        <row r="58">
          <cell r="C58">
            <v>195884.94</v>
          </cell>
        </row>
      </sheetData>
      <sheetData sheetId="7">
        <row r="5">
          <cell r="D5">
            <v>48900</v>
          </cell>
        </row>
        <row r="6">
          <cell r="D6">
            <v>16300</v>
          </cell>
        </row>
        <row r="7">
          <cell r="D7">
            <v>495000</v>
          </cell>
        </row>
        <row r="8">
          <cell r="D8">
            <v>26100</v>
          </cell>
        </row>
        <row r="9">
          <cell r="D9">
            <v>5000</v>
          </cell>
        </row>
        <row r="10">
          <cell r="D10">
            <v>3400</v>
          </cell>
        </row>
        <row r="58">
          <cell r="C58">
            <v>134695.82</v>
          </cell>
        </row>
      </sheetData>
      <sheetData sheetId="8">
        <row r="5">
          <cell r="D5">
            <v>54200</v>
          </cell>
        </row>
        <row r="6">
          <cell r="D6">
            <v>16300</v>
          </cell>
        </row>
        <row r="7">
          <cell r="D7">
            <v>503000</v>
          </cell>
        </row>
        <row r="8">
          <cell r="D8">
            <v>26100</v>
          </cell>
        </row>
        <row r="9">
          <cell r="D9">
            <v>5000</v>
          </cell>
        </row>
        <row r="10">
          <cell r="D10">
            <v>3400</v>
          </cell>
        </row>
        <row r="58">
          <cell r="C58">
            <v>151601.85</v>
          </cell>
        </row>
      </sheetData>
      <sheetData sheetId="9">
        <row r="6">
          <cell r="D6">
            <v>105000</v>
          </cell>
        </row>
        <row r="7">
          <cell r="D7">
            <v>511000</v>
          </cell>
        </row>
        <row r="58">
          <cell r="C58">
            <v>335692.63999999996</v>
          </cell>
        </row>
      </sheetData>
      <sheetData sheetId="10">
        <row r="5">
          <cell r="D5">
            <v>54200</v>
          </cell>
        </row>
        <row r="6">
          <cell r="D6">
            <v>16300</v>
          </cell>
        </row>
        <row r="7">
          <cell r="D7">
            <v>519000</v>
          </cell>
        </row>
        <row r="8">
          <cell r="D8">
            <v>32600</v>
          </cell>
        </row>
        <row r="9">
          <cell r="D9">
            <v>5000</v>
          </cell>
        </row>
        <row r="10">
          <cell r="D10">
            <v>3400</v>
          </cell>
        </row>
        <row r="58">
          <cell r="C58">
            <v>936672.5</v>
          </cell>
        </row>
      </sheetData>
      <sheetData sheetId="11">
        <row r="5">
          <cell r="D5">
            <v>54200</v>
          </cell>
        </row>
        <row r="6">
          <cell r="D6">
            <v>18800</v>
          </cell>
        </row>
        <row r="7">
          <cell r="D7">
            <v>530000</v>
          </cell>
        </row>
        <row r="8">
          <cell r="D8">
            <v>32600</v>
          </cell>
        </row>
        <row r="9">
          <cell r="D9">
            <v>5000</v>
          </cell>
        </row>
        <row r="10">
          <cell r="D10">
            <v>3400</v>
          </cell>
        </row>
        <row r="58">
          <cell r="C58">
            <v>134135.38999999998</v>
          </cell>
        </row>
      </sheetData>
      <sheetData sheetId="12">
        <row r="5">
          <cell r="D5">
            <v>54200</v>
          </cell>
        </row>
        <row r="6">
          <cell r="D6">
            <v>18800</v>
          </cell>
        </row>
        <row r="7">
          <cell r="D7">
            <v>1093000</v>
          </cell>
        </row>
        <row r="8">
          <cell r="D8">
            <v>32600</v>
          </cell>
        </row>
        <row r="9">
          <cell r="D9">
            <v>5000</v>
          </cell>
        </row>
        <row r="10">
          <cell r="D10">
            <v>3400</v>
          </cell>
        </row>
        <row r="58">
          <cell r="C58">
            <v>110650.39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estra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</sheetNames>
    <sheetDataSet>
      <sheetData sheetId="0"/>
      <sheetData sheetId="1">
        <row r="5">
          <cell r="D5">
            <v>54200</v>
          </cell>
        </row>
        <row r="6">
          <cell r="D6">
            <v>18800</v>
          </cell>
        </row>
        <row r="8">
          <cell r="D8">
            <v>32600</v>
          </cell>
        </row>
        <row r="9">
          <cell r="D9">
            <v>5000</v>
          </cell>
        </row>
        <row r="10">
          <cell r="D10">
            <v>3400</v>
          </cell>
        </row>
        <row r="58">
          <cell r="C58">
            <v>211964.57</v>
          </cell>
        </row>
      </sheetData>
      <sheetData sheetId="2">
        <row r="5">
          <cell r="D5">
            <v>54200</v>
          </cell>
        </row>
        <row r="6">
          <cell r="D6">
            <v>18800</v>
          </cell>
        </row>
        <row r="7">
          <cell r="D7">
            <v>566000</v>
          </cell>
        </row>
        <row r="8">
          <cell r="D8">
            <v>32600</v>
          </cell>
        </row>
        <row r="9">
          <cell r="D9">
            <v>7000</v>
          </cell>
        </row>
        <row r="10">
          <cell r="D10">
            <v>3400</v>
          </cell>
        </row>
        <row r="58">
          <cell r="C58">
            <v>213976.91999999998</v>
          </cell>
        </row>
      </sheetData>
      <sheetData sheetId="3">
        <row r="5">
          <cell r="D5">
            <v>54200</v>
          </cell>
        </row>
        <row r="6">
          <cell r="D6">
            <v>19700</v>
          </cell>
        </row>
        <row r="7">
          <cell r="D7">
            <v>576000</v>
          </cell>
        </row>
        <row r="8">
          <cell r="D8">
            <v>32600</v>
          </cell>
        </row>
        <row r="9">
          <cell r="D9">
            <v>7000</v>
          </cell>
        </row>
        <row r="10">
          <cell r="D10">
            <v>4000</v>
          </cell>
        </row>
        <row r="58">
          <cell r="C58">
            <v>308946.08999999997</v>
          </cell>
        </row>
      </sheetData>
      <sheetData sheetId="4">
        <row r="5">
          <cell r="D5">
            <v>54200</v>
          </cell>
        </row>
        <row r="6">
          <cell r="D6">
            <v>19700</v>
          </cell>
        </row>
        <row r="7">
          <cell r="D7">
            <v>588000</v>
          </cell>
        </row>
        <row r="8">
          <cell r="D8">
            <v>32600</v>
          </cell>
        </row>
        <row r="9">
          <cell r="D9">
            <v>7000</v>
          </cell>
        </row>
        <row r="10">
          <cell r="D10">
            <v>4000</v>
          </cell>
        </row>
        <row r="58">
          <cell r="C58">
            <v>352889.32</v>
          </cell>
        </row>
      </sheetData>
      <sheetData sheetId="5">
        <row r="58">
          <cell r="C58">
            <v>0</v>
          </cell>
        </row>
      </sheetData>
      <sheetData sheetId="6">
        <row r="58">
          <cell r="C58">
            <v>0</v>
          </cell>
        </row>
      </sheetData>
      <sheetData sheetId="7">
        <row r="58">
          <cell r="C58">
            <v>0</v>
          </cell>
        </row>
      </sheetData>
      <sheetData sheetId="8">
        <row r="58">
          <cell r="C58">
            <v>0</v>
          </cell>
        </row>
      </sheetData>
      <sheetData sheetId="9">
        <row r="58">
          <cell r="C58">
            <v>0</v>
          </cell>
        </row>
      </sheetData>
      <sheetData sheetId="10">
        <row r="58">
          <cell r="C58">
            <v>0</v>
          </cell>
        </row>
      </sheetData>
      <sheetData sheetId="11">
        <row r="58">
          <cell r="C58">
            <v>0</v>
          </cell>
        </row>
      </sheetData>
      <sheetData sheetId="12">
        <row r="58">
          <cell r="C58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00">
          <cell r="P500">
            <v>-3031549.959999999</v>
          </cell>
        </row>
      </sheetData>
      <sheetData sheetId="8">
        <row r="500">
          <cell r="P500">
            <v>4694551.5999999996</v>
          </cell>
        </row>
      </sheetData>
      <sheetData sheetId="9">
        <row r="500">
          <cell r="M500">
            <v>7369862.8900000006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reparacionesELS" refreshOnLoad="1" connectionId="1" xr16:uid="{00000000-0016-0000-0000-000000000000}" autoFormatId="16" applyNumberFormats="0" applyBorderFormats="0" applyFontFormats="0" applyPatternFormats="0" applyAlignmentFormats="0" applyWidthHeightFormats="0">
  <queryTableRefresh nextId="78" unboundColumnsRight="7">
    <queryTableFields count="34">
      <queryTableField id="22" name="Fecha de Entrada" tableColumnId="1"/>
      <queryTableField id="2" name="ELS" tableColumnId="2"/>
      <queryTableField id="23" name="Cliente" tableColumnId="3"/>
      <queryTableField id="24" name="Sucursal" tableColumnId="4"/>
      <queryTableField id="25" name="Cliente de Cliente" tableColumnId="5"/>
      <queryTableField id="26" name="Equipo" tableColumnId="6"/>
      <queryTableField id="7" name="Marca" tableColumnId="7"/>
      <queryTableField id="8" name="Modelo" tableColumnId="8"/>
      <queryTableField id="38" name="N Serie" tableColumnId="9"/>
      <queryTableField id="10" name="Aviso" tableColumnId="10"/>
      <queryTableField id="71" name="FECHA DIAGNOSTICO" tableColumnId="35"/>
      <queryTableField id="72" name="FECHA ACEPTACION" tableColumnId="36"/>
      <queryTableField id="30" name="Precio Dolar" tableColumnId="13"/>
      <queryTableField id="31" name="Precio Peso" tableColumnId="14"/>
      <queryTableField id="32" name="Estado Fisico" tableColumnId="15"/>
      <queryTableField id="73" name="ESTADO TECNICO" tableColumnId="37"/>
      <queryTableField id="34" name="Estado Comercial" tableColumnId="17"/>
      <queryTableField id="55" dataBound="0" tableColumnId="22"/>
      <queryTableField id="18" name="Pago" tableColumnId="18"/>
      <queryTableField id="56" dataBound="0" tableColumnId="23"/>
      <queryTableField id="58" dataBound="0" tableColumnId="25"/>
      <queryTableField id="59" dataBound="0" tableColumnId="26"/>
      <queryTableField id="60" dataBound="0" tableColumnId="27"/>
      <queryTableField id="40" name="Tecnico" tableColumnId="19"/>
      <queryTableField id="36" name="OC" tableColumnId="20"/>
      <queryTableField id="37" name="Remito" tableColumnId="21"/>
      <queryTableField id="77" name="FACTURA" tableColumnId="11"/>
      <queryTableField id="63" dataBound="0" tableColumnId="29"/>
      <queryTableField id="62" dataBound="0" tableColumnId="28"/>
      <queryTableField id="64" dataBound="0" tableColumnId="30"/>
      <queryTableField id="65" dataBound="0" tableColumnId="31"/>
      <queryTableField id="66" dataBound="0" tableColumnId="32"/>
      <queryTableField id="67" dataBound="0" tableColumnId="33"/>
      <queryTableField id="69" dataBound="0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Consulta_reparacionesELS" displayName="Tabla_Consulta_reparacionesELS" ref="A1:AH507" tableType="queryTable" totalsRowShown="0">
  <autoFilter ref="A1:AH507" xr:uid="{00000000-0009-0000-0100-000001000000}"/>
  <tableColumns count="34">
    <tableColumn id="1" xr3:uid="{00000000-0010-0000-0000-000001000000}" uniqueName="1" name="FECHA DE ENTRADA" queryTableFieldId="22" dataDxfId="28"/>
    <tableColumn id="2" xr3:uid="{00000000-0010-0000-0000-000002000000}" uniqueName="2" name="ELS" queryTableFieldId="2" dataDxfId="27"/>
    <tableColumn id="3" xr3:uid="{00000000-0010-0000-0000-000003000000}" uniqueName="3" name="CLIENTE" queryTableFieldId="23" dataDxfId="26"/>
    <tableColumn id="4" xr3:uid="{00000000-0010-0000-0000-000004000000}" uniqueName="4" name="SUCURSAL" queryTableFieldId="24" dataDxfId="25"/>
    <tableColumn id="5" xr3:uid="{00000000-0010-0000-0000-000005000000}" uniqueName="5" name="CLIENTE DE CLIENTE" queryTableFieldId="25" dataDxfId="24"/>
    <tableColumn id="6" xr3:uid="{00000000-0010-0000-0000-000006000000}" uniqueName="6" name="EQUIPO" queryTableFieldId="26" dataDxfId="23"/>
    <tableColumn id="7" xr3:uid="{00000000-0010-0000-0000-000007000000}" uniqueName="7" name="MARCA" queryTableFieldId="7" dataDxfId="22"/>
    <tableColumn id="8" xr3:uid="{00000000-0010-0000-0000-000008000000}" uniqueName="8" name="MODELO" queryTableFieldId="8" dataDxfId="21"/>
    <tableColumn id="9" xr3:uid="{00000000-0010-0000-0000-000009000000}" uniqueName="9" name="N SERIE" queryTableFieldId="38" dataDxfId="20"/>
    <tableColumn id="10" xr3:uid="{00000000-0010-0000-0000-00000A000000}" uniqueName="10" name="AVISO" queryTableFieldId="10" dataDxfId="19"/>
    <tableColumn id="35" xr3:uid="{00000000-0010-0000-0000-000023000000}" uniqueName="35" name="FECHA DIAGNOSTICO" queryTableFieldId="71" dataDxfId="18"/>
    <tableColumn id="36" xr3:uid="{00000000-0010-0000-0000-000024000000}" uniqueName="36" name="FECHA ACEPTACION" queryTableFieldId="72" dataDxfId="17"/>
    <tableColumn id="13" xr3:uid="{00000000-0010-0000-0000-00000D000000}" uniqueName="13" name="PRECIO DOLAR" queryTableFieldId="30" dataDxfId="16" dataCellStyle="Moneda"/>
    <tableColumn id="14" xr3:uid="{00000000-0010-0000-0000-00000E000000}" uniqueName="14" name="PRECIO PESO" queryTableFieldId="31" dataDxfId="15" dataCellStyle="Moneda"/>
    <tableColumn id="15" xr3:uid="{00000000-0010-0000-0000-00000F000000}" uniqueName="15" name="ESTADO FISICO" queryTableFieldId="32" dataDxfId="14"/>
    <tableColumn id="37" xr3:uid="{00000000-0010-0000-0000-000025000000}" uniqueName="37" name="ESTADO TECNICO" queryTableFieldId="73" dataDxfId="13"/>
    <tableColumn id="17" xr3:uid="{00000000-0010-0000-0000-000011000000}" uniqueName="17" name="ESTADO COMERCIAL" queryTableFieldId="34" dataDxfId="12"/>
    <tableColumn id="22" xr3:uid="{00000000-0010-0000-0000-000016000000}" uniqueName="22" name="VENTA" queryTableFieldId="55" dataDxfId="11" dataCellStyle="Moneda">
      <calculatedColumnFormula>IF(Q2="Aceptado",N2,0)</calculatedColumnFormula>
    </tableColumn>
    <tableColumn id="18" xr3:uid="{00000000-0010-0000-0000-000012000000}" uniqueName="18" name="PAGO" queryTableFieldId="18" dataDxfId="10" dataCellStyle="Moneda"/>
    <tableColumn id="23" xr3:uid="{00000000-0010-0000-0000-000017000000}" uniqueName="23" name="SALDO" queryTableFieldId="56" dataDxfId="9">
      <calculatedColumnFormula>IFERROR(+T1+R2-S2,0)</calculatedColumnFormula>
    </tableColumn>
    <tableColumn id="25" xr3:uid="{00000000-0010-0000-0000-000019000000}" uniqueName="25" name="MES REP" queryTableFieldId="58" dataDxfId="8">
      <calculatedColumnFormula>IF(NOT(ISBLANK(K2)),MONTH(K2),"")</calculatedColumnFormula>
    </tableColumn>
    <tableColumn id="26" xr3:uid="{00000000-0010-0000-0000-00001A000000}" uniqueName="26" name="MES ENTR" queryTableFieldId="59" dataDxfId="7">
      <calculatedColumnFormula>IF(NOT(ISBLANK(A2)),MONTH(A2),"")</calculatedColumnFormula>
    </tableColumn>
    <tableColumn id="27" xr3:uid="{00000000-0010-0000-0000-00001B000000}" uniqueName="27" name="SALDO2" queryTableFieldId="60" dataDxfId="6">
      <calculatedColumnFormula>IFERROR(+S2-R2,0)</calculatedColumnFormula>
    </tableColumn>
    <tableColumn id="19" xr3:uid="{00000000-0010-0000-0000-000013000000}" uniqueName="19" name="TECNICO" queryTableFieldId="40" dataDxfId="5"/>
    <tableColumn id="20" xr3:uid="{00000000-0010-0000-0000-000014000000}" uniqueName="20" name="OC" queryTableFieldId="36" dataDxfId="4"/>
    <tableColumn id="21" xr3:uid="{00000000-0010-0000-0000-000015000000}" uniqueName="21" name="REMITO" queryTableFieldId="37"/>
    <tableColumn id="11" xr3:uid="{E885B6D5-FE98-4742-899F-80EBB11F451D}" uniqueName="11" name="FACTURA" queryTableFieldId="77"/>
    <tableColumn id="29" xr3:uid="{00000000-0010-0000-0000-00001D000000}" uniqueName="29" name="PRESUPUESTO" queryTableFieldId="63"/>
    <tableColumn id="28" xr3:uid="{00000000-0010-0000-0000-00001C000000}" uniqueName="28" name="AÑO DE REPARACIÓN" queryTableFieldId="62" dataDxfId="3">
      <calculatedColumnFormula>IF(NOT(ISBLANK(K2)),YEAR(K2),"")</calculatedColumnFormula>
    </tableColumn>
    <tableColumn id="30" xr3:uid="{00000000-0010-0000-0000-00001E000000}" uniqueName="30" name="AÑO DE ENTRADA" queryTableFieldId="64" dataDxfId="2">
      <calculatedColumnFormula>IF(NOT(ISBLANK(A2)),YEAR(A2),"")</calculatedColumnFormula>
    </tableColumn>
    <tableColumn id="31" xr3:uid="{00000000-0010-0000-0000-00001F000000}" uniqueName="31" name="AÑO DE ACEP" queryTableFieldId="65" dataDxfId="1">
      <calculatedColumnFormula>IF(NOT(ISBLANK(L2)),YEAR(L2),"")</calculatedColumnFormula>
    </tableColumn>
    <tableColumn id="32" xr3:uid="{00000000-0010-0000-0000-000020000000}" uniqueName="32" name="MES DE ACEP" queryTableFieldId="66" dataDxfId="0">
      <calculatedColumnFormula>IF(NOT(ISBLANK(L2)),MONTH(L2),"")</calculatedColumnFormula>
    </tableColumn>
    <tableColumn id="33" xr3:uid="{00000000-0010-0000-0000-000021000000}" uniqueName="33" name="MES FACTURACIÓN " queryTableFieldId="67"/>
    <tableColumn id="34" xr3:uid="{00000000-0010-0000-0000-000022000000}" uniqueName="34" name="AÑO FACTURACIÓN" queryTableFieldId="6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7"/>
  <sheetViews>
    <sheetView topLeftCell="A452" zoomScale="70" zoomScaleNormal="70" workbookViewId="0">
      <selection activeCell="AA23" sqref="AA23"/>
    </sheetView>
  </sheetViews>
  <sheetFormatPr baseColWidth="10" defaultRowHeight="15" x14ac:dyDescent="0.25"/>
  <cols>
    <col min="1" max="1" width="31.5703125" style="20" bestFit="1" customWidth="1"/>
    <col min="2" max="2" width="12.85546875" style="1" bestFit="1" customWidth="1"/>
    <col min="3" max="3" width="42.42578125" style="19" bestFit="1" customWidth="1"/>
    <col min="4" max="4" width="17.85546875" style="19" bestFit="1" customWidth="1"/>
    <col min="5" max="5" width="55.42578125" style="19" bestFit="1" customWidth="1"/>
    <col min="6" max="6" width="52.140625" style="19" bestFit="1" customWidth="1"/>
    <col min="7" max="7" width="30" style="19" bestFit="1" customWidth="1"/>
    <col min="8" max="8" width="63.140625" style="19" bestFit="1" customWidth="1"/>
    <col min="9" max="9" width="30.140625" style="19" bestFit="1" customWidth="1"/>
    <col min="10" max="10" width="15.7109375" style="2" bestFit="1" customWidth="1"/>
    <col min="11" max="11" width="33.42578125" style="20" bestFit="1" customWidth="1"/>
    <col min="12" max="12" width="32" style="58" bestFit="1" customWidth="1"/>
    <col min="13" max="13" width="28.5703125" style="22" bestFit="1" customWidth="1"/>
    <col min="14" max="14" width="26.85546875" style="21" bestFit="1" customWidth="1"/>
    <col min="15" max="15" width="26.28515625" style="2" bestFit="1" customWidth="1"/>
    <col min="16" max="16" width="28.85546875" bestFit="1" customWidth="1"/>
    <col min="17" max="17" width="32.42578125" style="2" bestFit="1" customWidth="1"/>
    <col min="18" max="18" width="18.5703125" style="21" bestFit="1" customWidth="1"/>
    <col min="19" max="19" width="17.85546875" style="21" bestFit="1" customWidth="1"/>
    <col min="20" max="20" width="15.85546875" style="5" bestFit="1" customWidth="1"/>
    <col min="21" max="21" width="15.28515625" bestFit="1" customWidth="1"/>
    <col min="22" max="22" width="16.7109375" bestFit="1" customWidth="1"/>
    <col min="23" max="23" width="15" style="5" bestFit="1" customWidth="1"/>
    <col min="24" max="24" width="18.5703125" style="2" bestFit="1" customWidth="1"/>
    <col min="25" max="25" width="11.7109375" style="2" bestFit="1" customWidth="1"/>
    <col min="26" max="26" width="13.85546875" bestFit="1" customWidth="1"/>
    <col min="27" max="27" width="18.28515625" bestFit="1" customWidth="1"/>
    <col min="28" max="28" width="22.5703125" bestFit="1" customWidth="1"/>
    <col min="29" max="29" width="30" style="2" bestFit="1" customWidth="1"/>
    <col min="30" max="30" width="25.42578125" style="2" bestFit="1" customWidth="1"/>
    <col min="31" max="32" width="20.5703125" bestFit="1" customWidth="1"/>
    <col min="33" max="33" width="27.85546875" bestFit="1" customWidth="1"/>
    <col min="34" max="34" width="27.42578125" bestFit="1" customWidth="1"/>
    <col min="35" max="35" width="14.85546875" bestFit="1" customWidth="1"/>
    <col min="36" max="36" width="21" bestFit="1" customWidth="1"/>
    <col min="37" max="37" width="20.85546875" bestFit="1" customWidth="1"/>
    <col min="38" max="38" width="13.140625" bestFit="1" customWidth="1"/>
    <col min="39" max="40" width="13.140625" customWidth="1"/>
    <col min="43" max="44" width="9.7109375" customWidth="1"/>
    <col min="46" max="46" width="10" bestFit="1" customWidth="1"/>
    <col min="50" max="50" width="6" bestFit="1" customWidth="1"/>
    <col min="51" max="51" width="9.7109375" bestFit="1" customWidth="1"/>
    <col min="53" max="53" width="15.85546875" bestFit="1" customWidth="1"/>
    <col min="54" max="54" width="10" bestFit="1" customWidth="1"/>
    <col min="55" max="55" width="9.7109375" bestFit="1" customWidth="1"/>
    <col min="56" max="56" width="10.85546875" bestFit="1" customWidth="1"/>
    <col min="57" max="57" width="15.85546875" bestFit="1" customWidth="1"/>
    <col min="58" max="59" width="10" bestFit="1" customWidth="1"/>
    <col min="60" max="60" width="12" bestFit="1" customWidth="1"/>
    <col min="61" max="61" width="6" bestFit="1" customWidth="1"/>
    <col min="62" max="62" width="9.7109375" bestFit="1" customWidth="1"/>
    <col min="63" max="63" width="29" bestFit="1" customWidth="1"/>
    <col min="64" max="64" width="9.140625" bestFit="1" customWidth="1"/>
    <col min="65" max="65" width="10.42578125" bestFit="1" customWidth="1"/>
    <col min="66" max="66" width="17.5703125" bestFit="1" customWidth="1"/>
    <col min="67" max="67" width="8.140625" bestFit="1" customWidth="1"/>
    <col min="68" max="68" width="21.140625" bestFit="1" customWidth="1"/>
    <col min="69" max="69" width="17.28515625" bestFit="1" customWidth="1"/>
    <col min="70" max="70" width="13.5703125" bestFit="1" customWidth="1"/>
    <col min="71" max="71" width="13.140625" bestFit="1" customWidth="1"/>
    <col min="72" max="72" width="14.140625" bestFit="1" customWidth="1"/>
    <col min="73" max="73" width="15.85546875" bestFit="1" customWidth="1"/>
    <col min="74" max="74" width="18" bestFit="1" customWidth="1"/>
    <col min="75" max="75" width="7.5703125" bestFit="1" customWidth="1"/>
    <col min="76" max="76" width="11.28515625" bestFit="1" customWidth="1"/>
    <col min="77" max="77" width="18" bestFit="1" customWidth="1"/>
    <col min="78" max="78" width="22.42578125" bestFit="1" customWidth="1"/>
  </cols>
  <sheetData>
    <row r="1" spans="1:34" x14ac:dyDescent="0.25">
      <c r="A1" s="20" t="s">
        <v>13</v>
      </c>
      <c r="B1" s="2" t="s">
        <v>0</v>
      </c>
      <c r="C1" s="19" t="s">
        <v>14</v>
      </c>
      <c r="D1" s="19" t="s">
        <v>15</v>
      </c>
      <c r="E1" s="19" t="s">
        <v>16</v>
      </c>
      <c r="F1" s="19" t="s">
        <v>17</v>
      </c>
      <c r="G1" s="19" t="s">
        <v>18</v>
      </c>
      <c r="H1" s="19" t="s">
        <v>19</v>
      </c>
      <c r="I1" s="19" t="s">
        <v>20</v>
      </c>
      <c r="J1" s="2" t="s">
        <v>21</v>
      </c>
      <c r="K1" s="20" t="s">
        <v>22</v>
      </c>
      <c r="L1" s="20" t="s">
        <v>23</v>
      </c>
      <c r="M1" s="22" t="s">
        <v>24</v>
      </c>
      <c r="N1" s="21" t="s">
        <v>25</v>
      </c>
      <c r="O1" s="2" t="s">
        <v>26</v>
      </c>
      <c r="P1" s="2" t="s">
        <v>27</v>
      </c>
      <c r="Q1" s="2" t="s">
        <v>28</v>
      </c>
      <c r="R1" s="21" t="s">
        <v>32</v>
      </c>
      <c r="S1" s="21" t="s">
        <v>29</v>
      </c>
      <c r="T1" s="5" t="s">
        <v>33</v>
      </c>
      <c r="U1" t="s">
        <v>35</v>
      </c>
      <c r="V1" t="s">
        <v>36</v>
      </c>
      <c r="W1" s="5" t="s">
        <v>37</v>
      </c>
      <c r="X1" s="2" t="s">
        <v>30</v>
      </c>
      <c r="Y1" s="2" t="s">
        <v>7</v>
      </c>
      <c r="Z1" t="s">
        <v>31</v>
      </c>
      <c r="AA1" t="s">
        <v>34</v>
      </c>
      <c r="AB1" t="s">
        <v>38</v>
      </c>
      <c r="AC1" t="s">
        <v>8</v>
      </c>
      <c r="AD1" t="s">
        <v>9</v>
      </c>
      <c r="AE1" t="s">
        <v>10</v>
      </c>
      <c r="AF1" t="s">
        <v>122</v>
      </c>
      <c r="AG1" t="s">
        <v>11</v>
      </c>
      <c r="AH1" t="s">
        <v>12</v>
      </c>
    </row>
    <row r="2" spans="1:34" x14ac:dyDescent="0.25">
      <c r="A2" s="20">
        <v>45302.125</v>
      </c>
      <c r="B2" s="2">
        <v>988</v>
      </c>
      <c r="C2" s="19" t="s">
        <v>71</v>
      </c>
      <c r="D2" s="19" t="s">
        <v>2</v>
      </c>
      <c r="E2" s="19" t="s">
        <v>2</v>
      </c>
      <c r="F2" s="19" t="s">
        <v>72</v>
      </c>
      <c r="G2" s="19" t="s">
        <v>73</v>
      </c>
      <c r="H2" s="19" t="s">
        <v>74</v>
      </c>
      <c r="I2" s="19" t="s">
        <v>75</v>
      </c>
      <c r="J2" s="2" t="s">
        <v>2</v>
      </c>
      <c r="K2" s="20">
        <v>45307.125</v>
      </c>
      <c r="L2" s="20">
        <v>45307.125</v>
      </c>
      <c r="M2" s="22">
        <v>21</v>
      </c>
      <c r="N2" s="21">
        <v>21500</v>
      </c>
      <c r="O2" s="2" t="s">
        <v>76</v>
      </c>
      <c r="P2" s="2" t="s">
        <v>4</v>
      </c>
      <c r="Q2" s="2" t="s">
        <v>5</v>
      </c>
      <c r="R2" s="21">
        <f t="shared" ref="R2:R65" si="0">IF(Q2="Aceptado",N2,0)</f>
        <v>21500</v>
      </c>
      <c r="S2" s="21">
        <v>21500</v>
      </c>
      <c r="T2" s="5">
        <f t="shared" ref="T2:T65" si="1">IFERROR(+T1+R2-S2,0)</f>
        <v>0</v>
      </c>
      <c r="U2">
        <f t="shared" ref="U2:U65" si="2">IF(NOT(ISBLANK(K2)),MONTH(K2),"")</f>
        <v>1</v>
      </c>
      <c r="V2">
        <f t="shared" ref="V2:V65" si="3">IF(NOT(ISBLANK(A2)),MONTH(A2),"")</f>
        <v>1</v>
      </c>
      <c r="W2" s="5">
        <f t="shared" ref="W2:W65" si="4">IFERROR(+S2-R2,0)</f>
        <v>0</v>
      </c>
      <c r="X2" s="2" t="s">
        <v>6</v>
      </c>
      <c r="Y2" s="2" t="s">
        <v>2</v>
      </c>
      <c r="Z2">
        <v>669</v>
      </c>
      <c r="AA2" t="s">
        <v>1500</v>
      </c>
      <c r="AC2">
        <f t="shared" ref="AC2:AC65" si="5">IF(NOT(ISBLANK(K2)),YEAR(K2),"")</f>
        <v>2024</v>
      </c>
      <c r="AD2">
        <f t="shared" ref="AD2:AD65" si="6">IF(NOT(ISBLANK(A2)),YEAR(A2),"")</f>
        <v>2024</v>
      </c>
      <c r="AE2">
        <f t="shared" ref="AE2:AE65" si="7">IF(NOT(ISBLANK(L2)),YEAR(L2),"")</f>
        <v>2024</v>
      </c>
      <c r="AF2">
        <f t="shared" ref="AF2:AF65" si="8">IF(NOT(ISBLANK(L2)),MONTH(L2),"")</f>
        <v>1</v>
      </c>
    </row>
    <row r="3" spans="1:34" x14ac:dyDescent="0.25">
      <c r="A3" s="20">
        <v>45302</v>
      </c>
      <c r="B3" s="2">
        <v>989</v>
      </c>
      <c r="C3" s="19" t="s">
        <v>71</v>
      </c>
      <c r="D3" s="19" t="s">
        <v>2</v>
      </c>
      <c r="E3" s="19" t="s">
        <v>2</v>
      </c>
      <c r="F3" s="19" t="s">
        <v>72</v>
      </c>
      <c r="G3" s="19" t="s">
        <v>77</v>
      </c>
      <c r="H3" s="19" t="s">
        <v>78</v>
      </c>
      <c r="I3" s="19" t="s">
        <v>79</v>
      </c>
      <c r="J3" s="2" t="s">
        <v>2</v>
      </c>
      <c r="K3" s="20">
        <v>45307</v>
      </c>
      <c r="L3" s="20">
        <v>45307</v>
      </c>
      <c r="M3" s="22">
        <v>49</v>
      </c>
      <c r="N3" s="21">
        <v>49500</v>
      </c>
      <c r="O3" s="2" t="s">
        <v>76</v>
      </c>
      <c r="P3" s="2" t="s">
        <v>4</v>
      </c>
      <c r="Q3" s="2" t="s">
        <v>5</v>
      </c>
      <c r="R3" s="21">
        <f t="shared" si="0"/>
        <v>49500</v>
      </c>
      <c r="S3" s="21">
        <v>49500</v>
      </c>
      <c r="T3" s="5">
        <f t="shared" si="1"/>
        <v>0</v>
      </c>
      <c r="U3">
        <f t="shared" si="2"/>
        <v>1</v>
      </c>
      <c r="V3">
        <f t="shared" si="3"/>
        <v>1</v>
      </c>
      <c r="W3" s="5">
        <f t="shared" si="4"/>
        <v>0</v>
      </c>
      <c r="X3" s="2" t="s">
        <v>6</v>
      </c>
      <c r="Y3" s="2" t="s">
        <v>2</v>
      </c>
      <c r="Z3">
        <v>669</v>
      </c>
      <c r="AC3">
        <f t="shared" si="5"/>
        <v>2024</v>
      </c>
      <c r="AD3">
        <f t="shared" si="6"/>
        <v>2024</v>
      </c>
      <c r="AE3">
        <f t="shared" si="7"/>
        <v>2024</v>
      </c>
      <c r="AF3">
        <f t="shared" si="8"/>
        <v>1</v>
      </c>
    </row>
    <row r="4" spans="1:34" x14ac:dyDescent="0.25">
      <c r="A4" s="20">
        <v>45302</v>
      </c>
      <c r="B4" s="2">
        <v>990</v>
      </c>
      <c r="C4" s="19" t="s">
        <v>71</v>
      </c>
      <c r="D4" s="19" t="s">
        <v>2</v>
      </c>
      <c r="E4" s="19" t="s">
        <v>2</v>
      </c>
      <c r="F4" s="19" t="s">
        <v>72</v>
      </c>
      <c r="G4" s="19" t="s">
        <v>77</v>
      </c>
      <c r="H4" s="19" t="s">
        <v>80</v>
      </c>
      <c r="I4" s="19" t="s">
        <v>81</v>
      </c>
      <c r="J4" s="2" t="s">
        <v>2</v>
      </c>
      <c r="K4" s="20">
        <v>45307</v>
      </c>
      <c r="L4" s="20">
        <v>45307</v>
      </c>
      <c r="M4" s="22">
        <v>49</v>
      </c>
      <c r="N4" s="21">
        <v>49500</v>
      </c>
      <c r="O4" s="2" t="s">
        <v>76</v>
      </c>
      <c r="P4" s="2" t="s">
        <v>4</v>
      </c>
      <c r="Q4" s="2" t="s">
        <v>5</v>
      </c>
      <c r="R4" s="21">
        <f t="shared" si="0"/>
        <v>49500</v>
      </c>
      <c r="S4" s="21">
        <v>49500</v>
      </c>
      <c r="T4" s="5">
        <f t="shared" si="1"/>
        <v>0</v>
      </c>
      <c r="U4">
        <f t="shared" si="2"/>
        <v>1</v>
      </c>
      <c r="V4">
        <f t="shared" si="3"/>
        <v>1</v>
      </c>
      <c r="W4" s="5">
        <f t="shared" si="4"/>
        <v>0</v>
      </c>
      <c r="X4" s="2" t="s">
        <v>6</v>
      </c>
      <c r="Y4" s="2" t="s">
        <v>2</v>
      </c>
      <c r="Z4">
        <v>669</v>
      </c>
      <c r="AC4">
        <f t="shared" si="5"/>
        <v>2024</v>
      </c>
      <c r="AD4">
        <f t="shared" si="6"/>
        <v>2024</v>
      </c>
      <c r="AE4">
        <f t="shared" si="7"/>
        <v>2024</v>
      </c>
      <c r="AF4">
        <f t="shared" si="8"/>
        <v>1</v>
      </c>
    </row>
    <row r="5" spans="1:34" x14ac:dyDescent="0.25">
      <c r="A5" s="20">
        <v>45314.125</v>
      </c>
      <c r="B5" s="2">
        <v>991</v>
      </c>
      <c r="C5" s="19" t="s">
        <v>1732</v>
      </c>
      <c r="D5" s="19" t="s">
        <v>2</v>
      </c>
      <c r="E5" s="19" t="s">
        <v>2</v>
      </c>
      <c r="F5" s="19" t="s">
        <v>82</v>
      </c>
      <c r="G5" s="19" t="s">
        <v>83</v>
      </c>
      <c r="H5" s="19" t="s">
        <v>84</v>
      </c>
      <c r="I5" s="19" t="s">
        <v>85</v>
      </c>
      <c r="J5" s="2" t="s">
        <v>2</v>
      </c>
      <c r="K5" s="20">
        <v>45303.125</v>
      </c>
      <c r="L5" s="20">
        <v>45314.125</v>
      </c>
      <c r="M5" s="22">
        <v>185</v>
      </c>
      <c r="N5" s="21">
        <v>156500</v>
      </c>
      <c r="O5" s="2" t="s">
        <v>76</v>
      </c>
      <c r="P5" s="2" t="s">
        <v>4</v>
      </c>
      <c r="Q5" s="2" t="s">
        <v>5</v>
      </c>
      <c r="R5" s="21">
        <f t="shared" si="0"/>
        <v>156500</v>
      </c>
      <c r="S5" s="21">
        <v>156500</v>
      </c>
      <c r="T5" s="5">
        <f t="shared" si="1"/>
        <v>0</v>
      </c>
      <c r="U5">
        <f t="shared" si="2"/>
        <v>1</v>
      </c>
      <c r="V5">
        <f t="shared" si="3"/>
        <v>1</v>
      </c>
      <c r="W5" s="5">
        <f t="shared" si="4"/>
        <v>0</v>
      </c>
      <c r="X5" s="2" t="s">
        <v>6</v>
      </c>
      <c r="Y5" s="2" t="s">
        <v>2</v>
      </c>
      <c r="Z5">
        <v>673</v>
      </c>
      <c r="AC5">
        <f t="shared" si="5"/>
        <v>2024</v>
      </c>
      <c r="AD5">
        <f t="shared" si="6"/>
        <v>2024</v>
      </c>
      <c r="AE5">
        <f t="shared" si="7"/>
        <v>2024</v>
      </c>
      <c r="AF5">
        <f t="shared" si="8"/>
        <v>1</v>
      </c>
    </row>
    <row r="6" spans="1:34" x14ac:dyDescent="0.25">
      <c r="A6" s="20">
        <v>45306.125</v>
      </c>
      <c r="B6" s="2">
        <v>992</v>
      </c>
      <c r="C6" s="19" t="s">
        <v>535</v>
      </c>
      <c r="D6" s="19" t="s">
        <v>2</v>
      </c>
      <c r="E6" s="19" t="s">
        <v>2</v>
      </c>
      <c r="F6" s="19" t="s">
        <v>86</v>
      </c>
      <c r="G6" s="19" t="s">
        <v>87</v>
      </c>
      <c r="H6" s="19" t="s">
        <v>88</v>
      </c>
      <c r="I6" s="19" t="s">
        <v>89</v>
      </c>
      <c r="J6" s="2" t="s">
        <v>2</v>
      </c>
      <c r="K6" s="20">
        <v>45306.125</v>
      </c>
      <c r="L6" s="20">
        <v>45307.125</v>
      </c>
      <c r="M6" s="22">
        <v>160</v>
      </c>
      <c r="N6" s="21">
        <v>140500</v>
      </c>
      <c r="O6" s="2" t="s">
        <v>76</v>
      </c>
      <c r="P6" s="2" t="s">
        <v>4</v>
      </c>
      <c r="Q6" s="2" t="s">
        <v>5</v>
      </c>
      <c r="R6" s="21">
        <f t="shared" si="0"/>
        <v>140500</v>
      </c>
      <c r="S6" s="21">
        <v>140500</v>
      </c>
      <c r="T6" s="5">
        <f t="shared" si="1"/>
        <v>0</v>
      </c>
      <c r="U6">
        <f t="shared" si="2"/>
        <v>1</v>
      </c>
      <c r="V6">
        <f t="shared" si="3"/>
        <v>1</v>
      </c>
      <c r="W6" s="5">
        <f t="shared" si="4"/>
        <v>0</v>
      </c>
      <c r="X6" s="2" t="s">
        <v>6</v>
      </c>
      <c r="Y6" s="2" t="s">
        <v>2</v>
      </c>
      <c r="Z6">
        <v>668</v>
      </c>
      <c r="AC6">
        <f t="shared" si="5"/>
        <v>2024</v>
      </c>
      <c r="AD6">
        <f t="shared" si="6"/>
        <v>2024</v>
      </c>
      <c r="AE6">
        <f t="shared" si="7"/>
        <v>2024</v>
      </c>
      <c r="AF6">
        <f t="shared" si="8"/>
        <v>1</v>
      </c>
    </row>
    <row r="7" spans="1:34" x14ac:dyDescent="0.25">
      <c r="A7" s="20">
        <v>45306</v>
      </c>
      <c r="B7" s="2">
        <v>993</v>
      </c>
      <c r="C7" s="19" t="s">
        <v>1</v>
      </c>
      <c r="D7" s="19" t="s">
        <v>2</v>
      </c>
      <c r="E7" s="19" t="s">
        <v>2</v>
      </c>
      <c r="F7" s="19" t="s">
        <v>90</v>
      </c>
      <c r="G7" s="19" t="s">
        <v>91</v>
      </c>
      <c r="H7" s="19" t="s">
        <v>92</v>
      </c>
      <c r="I7" s="19" t="s">
        <v>93</v>
      </c>
      <c r="J7" s="2" t="s">
        <v>2</v>
      </c>
      <c r="K7" s="20">
        <v>45307</v>
      </c>
      <c r="L7" s="20">
        <v>45307</v>
      </c>
      <c r="M7" s="22">
        <v>45</v>
      </c>
      <c r="N7" s="21">
        <v>45800</v>
      </c>
      <c r="O7" s="2" t="s">
        <v>76</v>
      </c>
      <c r="P7" s="2" t="s">
        <v>4</v>
      </c>
      <c r="Q7" s="2" t="s">
        <v>5</v>
      </c>
      <c r="R7" s="21">
        <f t="shared" si="0"/>
        <v>45800</v>
      </c>
      <c r="S7" s="21">
        <v>45800</v>
      </c>
      <c r="T7" s="5">
        <f t="shared" si="1"/>
        <v>0</v>
      </c>
      <c r="U7">
        <f t="shared" si="2"/>
        <v>1</v>
      </c>
      <c r="V7">
        <f t="shared" si="3"/>
        <v>1</v>
      </c>
      <c r="W7" s="5">
        <f t="shared" si="4"/>
        <v>0</v>
      </c>
      <c r="X7" s="2" t="s">
        <v>6</v>
      </c>
      <c r="Y7" s="2" t="s">
        <v>2</v>
      </c>
      <c r="Z7">
        <v>670</v>
      </c>
      <c r="AA7" t="s">
        <v>1511</v>
      </c>
      <c r="AC7">
        <f t="shared" si="5"/>
        <v>2024</v>
      </c>
      <c r="AD7">
        <f t="shared" si="6"/>
        <v>2024</v>
      </c>
      <c r="AE7">
        <f t="shared" si="7"/>
        <v>2024</v>
      </c>
      <c r="AF7">
        <f t="shared" si="8"/>
        <v>1</v>
      </c>
    </row>
    <row r="8" spans="1:34" x14ac:dyDescent="0.25">
      <c r="A8" s="20">
        <v>45307</v>
      </c>
      <c r="B8" s="2">
        <v>994</v>
      </c>
      <c r="C8" s="19" t="s">
        <v>535</v>
      </c>
      <c r="D8" s="19" t="s">
        <v>2</v>
      </c>
      <c r="E8" s="19" t="s">
        <v>2</v>
      </c>
      <c r="F8" s="19" t="s">
        <v>86</v>
      </c>
      <c r="G8" s="19" t="s">
        <v>94</v>
      </c>
      <c r="H8" s="19" t="s">
        <v>95</v>
      </c>
      <c r="I8" s="19" t="s">
        <v>96</v>
      </c>
      <c r="J8" s="2" t="s">
        <v>2</v>
      </c>
      <c r="K8" s="20">
        <v>45307</v>
      </c>
      <c r="L8" s="20">
        <v>45311</v>
      </c>
      <c r="M8" s="22">
        <v>115</v>
      </c>
      <c r="N8" s="21">
        <v>112500</v>
      </c>
      <c r="O8" s="2" t="s">
        <v>76</v>
      </c>
      <c r="P8" s="2" t="s">
        <v>4</v>
      </c>
      <c r="Q8" s="2" t="s">
        <v>5</v>
      </c>
      <c r="R8" s="21">
        <f t="shared" si="0"/>
        <v>112500</v>
      </c>
      <c r="S8" s="21">
        <v>112500</v>
      </c>
      <c r="T8" s="5">
        <f t="shared" si="1"/>
        <v>0</v>
      </c>
      <c r="U8">
        <f t="shared" si="2"/>
        <v>1</v>
      </c>
      <c r="V8">
        <f t="shared" si="3"/>
        <v>1</v>
      </c>
      <c r="W8" s="5">
        <f t="shared" si="4"/>
        <v>0</v>
      </c>
      <c r="X8" s="2" t="s">
        <v>6</v>
      </c>
      <c r="Y8" s="2" t="s">
        <v>2</v>
      </c>
      <c r="Z8">
        <v>672</v>
      </c>
      <c r="AC8">
        <f t="shared" si="5"/>
        <v>2024</v>
      </c>
      <c r="AD8">
        <f t="shared" si="6"/>
        <v>2024</v>
      </c>
      <c r="AE8">
        <f t="shared" si="7"/>
        <v>2024</v>
      </c>
      <c r="AF8">
        <f t="shared" si="8"/>
        <v>1</v>
      </c>
    </row>
    <row r="9" spans="1:34" x14ac:dyDescent="0.25">
      <c r="A9" s="20">
        <v>45308</v>
      </c>
      <c r="B9" s="2">
        <v>995</v>
      </c>
      <c r="C9" s="19" t="s">
        <v>98</v>
      </c>
      <c r="D9" s="19" t="s">
        <v>2</v>
      </c>
      <c r="E9" s="19" t="s">
        <v>2</v>
      </c>
      <c r="F9" s="19" t="s">
        <v>99</v>
      </c>
      <c r="G9" s="19" t="s">
        <v>100</v>
      </c>
      <c r="H9" s="19" t="s">
        <v>101</v>
      </c>
      <c r="I9" s="19" t="s">
        <v>102</v>
      </c>
      <c r="J9" s="2" t="s">
        <v>2</v>
      </c>
      <c r="K9" s="20">
        <v>45308</v>
      </c>
      <c r="L9" s="20">
        <v>45338</v>
      </c>
      <c r="M9" s="22">
        <v>300</v>
      </c>
      <c r="N9" s="21">
        <v>256050</v>
      </c>
      <c r="O9" s="2" t="s">
        <v>76</v>
      </c>
      <c r="P9" s="2" t="s">
        <v>4</v>
      </c>
      <c r="Q9" s="2" t="s">
        <v>5</v>
      </c>
      <c r="R9" s="21">
        <f t="shared" si="0"/>
        <v>256050</v>
      </c>
      <c r="S9" s="21">
        <v>256050</v>
      </c>
      <c r="T9" s="5">
        <f t="shared" si="1"/>
        <v>0</v>
      </c>
      <c r="U9">
        <f t="shared" si="2"/>
        <v>1</v>
      </c>
      <c r="V9">
        <f t="shared" si="3"/>
        <v>1</v>
      </c>
      <c r="W9" s="5">
        <f t="shared" si="4"/>
        <v>0</v>
      </c>
      <c r="X9" s="2" t="s">
        <v>6</v>
      </c>
      <c r="Y9" s="2" t="s">
        <v>2</v>
      </c>
      <c r="Z9">
        <v>682</v>
      </c>
      <c r="AA9" t="s">
        <v>1512</v>
      </c>
      <c r="AC9">
        <f t="shared" si="5"/>
        <v>2024</v>
      </c>
      <c r="AD9">
        <f t="shared" si="6"/>
        <v>2024</v>
      </c>
      <c r="AE9">
        <f t="shared" si="7"/>
        <v>2024</v>
      </c>
      <c r="AF9">
        <f t="shared" si="8"/>
        <v>2</v>
      </c>
    </row>
    <row r="10" spans="1:34" x14ac:dyDescent="0.25">
      <c r="A10" s="20">
        <v>45314</v>
      </c>
      <c r="B10" s="2">
        <v>996</v>
      </c>
      <c r="C10" s="19" t="s">
        <v>103</v>
      </c>
      <c r="D10" s="19" t="s">
        <v>2</v>
      </c>
      <c r="E10" s="19" t="s">
        <v>2</v>
      </c>
      <c r="F10" s="19" t="s">
        <v>86</v>
      </c>
      <c r="G10" s="19" t="s">
        <v>94</v>
      </c>
      <c r="H10" s="19" t="s">
        <v>104</v>
      </c>
      <c r="I10" s="19" t="s">
        <v>105</v>
      </c>
      <c r="J10" s="2" t="s">
        <v>2</v>
      </c>
      <c r="K10" s="20">
        <v>45308</v>
      </c>
      <c r="L10" s="20">
        <v>45324</v>
      </c>
      <c r="M10" s="22">
        <v>129</v>
      </c>
      <c r="N10" s="21">
        <v>110000</v>
      </c>
      <c r="O10" s="2" t="s">
        <v>76</v>
      </c>
      <c r="P10" s="2" t="s">
        <v>4</v>
      </c>
      <c r="Q10" s="2" t="s">
        <v>5</v>
      </c>
      <c r="R10" s="21">
        <f t="shared" si="0"/>
        <v>110000</v>
      </c>
      <c r="S10" s="21">
        <v>110000</v>
      </c>
      <c r="T10" s="5">
        <f t="shared" si="1"/>
        <v>0</v>
      </c>
      <c r="U10">
        <f t="shared" si="2"/>
        <v>1</v>
      </c>
      <c r="V10">
        <f t="shared" si="3"/>
        <v>1</v>
      </c>
      <c r="W10" s="5">
        <f t="shared" si="4"/>
        <v>0</v>
      </c>
      <c r="X10" s="2" t="s">
        <v>6</v>
      </c>
      <c r="Y10" s="2" t="s">
        <v>2</v>
      </c>
      <c r="Z10">
        <v>671</v>
      </c>
      <c r="AC10">
        <f t="shared" si="5"/>
        <v>2024</v>
      </c>
      <c r="AD10">
        <f t="shared" si="6"/>
        <v>2024</v>
      </c>
      <c r="AE10">
        <f t="shared" si="7"/>
        <v>2024</v>
      </c>
      <c r="AF10">
        <f t="shared" si="8"/>
        <v>2</v>
      </c>
    </row>
    <row r="11" spans="1:34" x14ac:dyDescent="0.25">
      <c r="A11" s="20">
        <v>45309.125</v>
      </c>
      <c r="B11" s="2">
        <v>997</v>
      </c>
      <c r="C11" s="19" t="s">
        <v>1732</v>
      </c>
      <c r="D11" s="19" t="s">
        <v>2</v>
      </c>
      <c r="E11" s="19" t="s">
        <v>2</v>
      </c>
      <c r="F11" s="19" t="s">
        <v>106</v>
      </c>
      <c r="G11" s="19" t="s">
        <v>107</v>
      </c>
      <c r="H11" s="19" t="s">
        <v>108</v>
      </c>
      <c r="I11" s="19" t="s">
        <v>109</v>
      </c>
      <c r="J11" s="2" t="s">
        <v>2</v>
      </c>
      <c r="K11" s="20">
        <v>45309.125</v>
      </c>
      <c r="L11" s="20">
        <v>46064.125</v>
      </c>
      <c r="M11" s="22">
        <v>680</v>
      </c>
      <c r="N11" s="21">
        <v>571880</v>
      </c>
      <c r="O11" s="2" t="s">
        <v>3</v>
      </c>
      <c r="P11" s="2" t="s">
        <v>4</v>
      </c>
      <c r="Q11" s="2" t="s">
        <v>146</v>
      </c>
      <c r="R11" s="21">
        <f t="shared" si="0"/>
        <v>0</v>
      </c>
      <c r="S11" s="21">
        <v>0</v>
      </c>
      <c r="T11" s="5">
        <f t="shared" si="1"/>
        <v>0</v>
      </c>
      <c r="U11">
        <f t="shared" si="2"/>
        <v>1</v>
      </c>
      <c r="V11">
        <f t="shared" si="3"/>
        <v>1</v>
      </c>
      <c r="W11" s="5">
        <f t="shared" si="4"/>
        <v>0</v>
      </c>
      <c r="X11" s="2" t="s">
        <v>6</v>
      </c>
      <c r="Y11" s="2" t="s">
        <v>2</v>
      </c>
      <c r="AC11">
        <f t="shared" si="5"/>
        <v>2024</v>
      </c>
      <c r="AD11">
        <f t="shared" si="6"/>
        <v>2024</v>
      </c>
      <c r="AE11">
        <f t="shared" si="7"/>
        <v>2026</v>
      </c>
      <c r="AF11">
        <f t="shared" si="8"/>
        <v>2</v>
      </c>
    </row>
    <row r="12" spans="1:34" x14ac:dyDescent="0.25">
      <c r="A12" s="20">
        <v>45309</v>
      </c>
      <c r="B12" s="2">
        <v>998</v>
      </c>
      <c r="C12" s="19" t="s">
        <v>1732</v>
      </c>
      <c r="D12" s="19" t="s">
        <v>2</v>
      </c>
      <c r="E12" s="19" t="s">
        <v>2</v>
      </c>
      <c r="F12" s="19" t="s">
        <v>82</v>
      </c>
      <c r="G12" s="19" t="s">
        <v>83</v>
      </c>
      <c r="H12" s="19" t="s">
        <v>84</v>
      </c>
      <c r="I12" s="19" t="s">
        <v>110</v>
      </c>
      <c r="J12" s="2" t="s">
        <v>2</v>
      </c>
      <c r="K12" s="20">
        <v>45309</v>
      </c>
      <c r="L12" s="20"/>
      <c r="M12" s="22">
        <v>171</v>
      </c>
      <c r="N12" s="21">
        <v>143500</v>
      </c>
      <c r="O12" s="2" t="s">
        <v>3</v>
      </c>
      <c r="P12" s="2" t="s">
        <v>4</v>
      </c>
      <c r="Q12" s="2" t="s">
        <v>97</v>
      </c>
      <c r="R12" s="21">
        <f t="shared" si="0"/>
        <v>0</v>
      </c>
      <c r="S12" s="21">
        <v>0</v>
      </c>
      <c r="T12" s="5">
        <f t="shared" si="1"/>
        <v>0</v>
      </c>
      <c r="U12">
        <f t="shared" si="2"/>
        <v>1</v>
      </c>
      <c r="V12">
        <f t="shared" si="3"/>
        <v>1</v>
      </c>
      <c r="W12" s="5">
        <f t="shared" si="4"/>
        <v>0</v>
      </c>
      <c r="X12" s="2" t="s">
        <v>6</v>
      </c>
      <c r="Y12" s="2" t="s">
        <v>2</v>
      </c>
      <c r="AC12">
        <f t="shared" si="5"/>
        <v>2024</v>
      </c>
      <c r="AD12">
        <f t="shared" si="6"/>
        <v>2024</v>
      </c>
      <c r="AE12" t="str">
        <f t="shared" si="7"/>
        <v/>
      </c>
      <c r="AF12" t="str">
        <f t="shared" si="8"/>
        <v/>
      </c>
    </row>
    <row r="13" spans="1:34" x14ac:dyDescent="0.25">
      <c r="A13" s="20">
        <v>45310.125</v>
      </c>
      <c r="B13" s="2">
        <v>999</v>
      </c>
      <c r="C13" s="19" t="s">
        <v>0</v>
      </c>
      <c r="D13" s="19" t="s">
        <v>111</v>
      </c>
      <c r="E13" s="19" t="s">
        <v>2</v>
      </c>
      <c r="F13" s="19" t="s">
        <v>112</v>
      </c>
      <c r="G13" s="19" t="s">
        <v>113</v>
      </c>
      <c r="H13" s="19" t="s">
        <v>114</v>
      </c>
      <c r="I13" s="19" t="s">
        <v>115</v>
      </c>
      <c r="J13" s="2" t="s">
        <v>2</v>
      </c>
      <c r="K13" s="20">
        <v>45310.125</v>
      </c>
      <c r="L13" s="20">
        <v>45323.125</v>
      </c>
      <c r="M13" s="22">
        <v>1100</v>
      </c>
      <c r="N13" s="21">
        <v>952807</v>
      </c>
      <c r="O13" s="2" t="s">
        <v>76</v>
      </c>
      <c r="P13" s="2" t="s">
        <v>4</v>
      </c>
      <c r="Q13" s="2" t="s">
        <v>5</v>
      </c>
      <c r="R13" s="21">
        <f t="shared" si="0"/>
        <v>952807</v>
      </c>
      <c r="S13" s="21">
        <v>952807</v>
      </c>
      <c r="T13" s="5">
        <f t="shared" si="1"/>
        <v>0</v>
      </c>
      <c r="U13">
        <f t="shared" si="2"/>
        <v>1</v>
      </c>
      <c r="V13">
        <f t="shared" si="3"/>
        <v>1</v>
      </c>
      <c r="W13" s="5">
        <f t="shared" si="4"/>
        <v>0</v>
      </c>
      <c r="X13" s="2" t="s">
        <v>6</v>
      </c>
      <c r="Y13" s="2" t="s">
        <v>2</v>
      </c>
      <c r="AA13" t="s">
        <v>1513</v>
      </c>
      <c r="AC13">
        <f t="shared" si="5"/>
        <v>2024</v>
      </c>
      <c r="AD13">
        <f t="shared" si="6"/>
        <v>2024</v>
      </c>
      <c r="AE13">
        <f t="shared" si="7"/>
        <v>2024</v>
      </c>
      <c r="AF13">
        <f t="shared" si="8"/>
        <v>2</v>
      </c>
    </row>
    <row r="14" spans="1:34" x14ac:dyDescent="0.25">
      <c r="A14" s="20">
        <v>45310</v>
      </c>
      <c r="B14" s="2">
        <v>1000</v>
      </c>
      <c r="C14" s="19" t="s">
        <v>98</v>
      </c>
      <c r="D14" s="19" t="s">
        <v>2</v>
      </c>
      <c r="E14" s="19" t="s">
        <v>2</v>
      </c>
      <c r="F14" s="19" t="s">
        <v>116</v>
      </c>
      <c r="G14" s="19" t="s">
        <v>117</v>
      </c>
      <c r="H14" s="19" t="s">
        <v>118</v>
      </c>
      <c r="I14" s="19" t="s">
        <v>119</v>
      </c>
      <c r="J14" s="2" t="s">
        <v>2</v>
      </c>
      <c r="K14" s="20">
        <v>45314</v>
      </c>
      <c r="L14" s="20">
        <v>45314</v>
      </c>
      <c r="M14" s="22">
        <v>129</v>
      </c>
      <c r="N14" s="21">
        <v>108500</v>
      </c>
      <c r="O14" s="2" t="s">
        <v>76</v>
      </c>
      <c r="P14" s="2" t="s">
        <v>4</v>
      </c>
      <c r="Q14" s="2" t="s">
        <v>5</v>
      </c>
      <c r="R14" s="21">
        <f t="shared" si="0"/>
        <v>108500</v>
      </c>
      <c r="S14" s="21">
        <v>108500</v>
      </c>
      <c r="T14" s="5">
        <f t="shared" si="1"/>
        <v>0</v>
      </c>
      <c r="U14">
        <f t="shared" si="2"/>
        <v>1</v>
      </c>
      <c r="V14">
        <f t="shared" si="3"/>
        <v>1</v>
      </c>
      <c r="W14" s="5">
        <f t="shared" si="4"/>
        <v>0</v>
      </c>
      <c r="X14" s="2" t="s">
        <v>6</v>
      </c>
      <c r="Y14" s="2" t="s">
        <v>2</v>
      </c>
      <c r="Z14">
        <v>674</v>
      </c>
      <c r="AC14">
        <f t="shared" si="5"/>
        <v>2024</v>
      </c>
      <c r="AD14">
        <f t="shared" si="6"/>
        <v>2024</v>
      </c>
      <c r="AE14">
        <f t="shared" si="7"/>
        <v>2024</v>
      </c>
      <c r="AF14">
        <f t="shared" si="8"/>
        <v>1</v>
      </c>
    </row>
    <row r="15" spans="1:34" x14ac:dyDescent="0.25">
      <c r="A15" s="20">
        <v>45316</v>
      </c>
      <c r="B15" s="2">
        <v>1001</v>
      </c>
      <c r="C15" s="19" t="s">
        <v>1</v>
      </c>
      <c r="D15" s="19" t="s">
        <v>2</v>
      </c>
      <c r="E15" s="19" t="s">
        <v>2</v>
      </c>
      <c r="F15" s="19" t="s">
        <v>124</v>
      </c>
      <c r="G15" s="19" t="s">
        <v>125</v>
      </c>
      <c r="H15" s="19" t="s">
        <v>126</v>
      </c>
      <c r="I15" s="19" t="s">
        <v>127</v>
      </c>
      <c r="J15" s="2" t="s">
        <v>2</v>
      </c>
      <c r="K15" s="20">
        <v>45317</v>
      </c>
      <c r="L15" s="20">
        <v>45328</v>
      </c>
      <c r="M15" s="22">
        <v>1250</v>
      </c>
      <c r="N15" s="21">
        <v>1052812</v>
      </c>
      <c r="O15" s="2" t="s">
        <v>76</v>
      </c>
      <c r="P15" s="2" t="s">
        <v>145</v>
      </c>
      <c r="Q15" s="2" t="s">
        <v>146</v>
      </c>
      <c r="R15" s="21">
        <f t="shared" si="0"/>
        <v>0</v>
      </c>
      <c r="S15" s="21">
        <v>0</v>
      </c>
      <c r="T15" s="5">
        <f t="shared" si="1"/>
        <v>0</v>
      </c>
      <c r="U15">
        <f t="shared" si="2"/>
        <v>1</v>
      </c>
      <c r="V15">
        <f t="shared" si="3"/>
        <v>1</v>
      </c>
      <c r="W15" s="5">
        <f t="shared" si="4"/>
        <v>0</v>
      </c>
      <c r="X15" s="2" t="s">
        <v>6</v>
      </c>
      <c r="Y15" s="2" t="s">
        <v>2</v>
      </c>
      <c r="AC15">
        <f t="shared" si="5"/>
        <v>2024</v>
      </c>
      <c r="AD15">
        <f t="shared" si="6"/>
        <v>2024</v>
      </c>
      <c r="AE15">
        <f t="shared" si="7"/>
        <v>2024</v>
      </c>
      <c r="AF15">
        <f t="shared" si="8"/>
        <v>2</v>
      </c>
    </row>
    <row r="16" spans="1:34" x14ac:dyDescent="0.25">
      <c r="A16" s="20">
        <v>45317</v>
      </c>
      <c r="B16" s="2">
        <v>1002</v>
      </c>
      <c r="C16" s="19" t="s">
        <v>129</v>
      </c>
      <c r="D16" s="19" t="s">
        <v>2</v>
      </c>
      <c r="E16" s="19" t="s">
        <v>2</v>
      </c>
      <c r="F16" s="19" t="s">
        <v>130</v>
      </c>
      <c r="G16" s="19" t="s">
        <v>131</v>
      </c>
      <c r="H16" s="19" t="s">
        <v>132</v>
      </c>
      <c r="I16" s="19" t="s">
        <v>133</v>
      </c>
      <c r="J16" s="2" t="s">
        <v>2</v>
      </c>
      <c r="K16" s="20">
        <v>45337</v>
      </c>
      <c r="L16" s="20">
        <v>45328</v>
      </c>
      <c r="M16" s="22">
        <v>336</v>
      </c>
      <c r="N16" s="21">
        <v>285000</v>
      </c>
      <c r="O16" s="2" t="s">
        <v>76</v>
      </c>
      <c r="P16" s="2" t="s">
        <v>4</v>
      </c>
      <c r="Q16" s="2" t="s">
        <v>5</v>
      </c>
      <c r="R16" s="21">
        <f t="shared" si="0"/>
        <v>285000</v>
      </c>
      <c r="S16" s="21">
        <v>285000</v>
      </c>
      <c r="T16" s="5">
        <f t="shared" si="1"/>
        <v>0</v>
      </c>
      <c r="U16">
        <f t="shared" si="2"/>
        <v>2</v>
      </c>
      <c r="V16">
        <f t="shared" si="3"/>
        <v>1</v>
      </c>
      <c r="W16" s="5">
        <f t="shared" si="4"/>
        <v>0</v>
      </c>
      <c r="X16" s="2" t="s">
        <v>6</v>
      </c>
      <c r="Y16" s="2" t="s">
        <v>2</v>
      </c>
      <c r="Z16">
        <v>683</v>
      </c>
      <c r="AA16" t="s">
        <v>1514</v>
      </c>
      <c r="AC16">
        <f t="shared" si="5"/>
        <v>2024</v>
      </c>
      <c r="AD16">
        <f t="shared" si="6"/>
        <v>2024</v>
      </c>
      <c r="AE16">
        <f t="shared" si="7"/>
        <v>2024</v>
      </c>
      <c r="AF16">
        <f t="shared" si="8"/>
        <v>2</v>
      </c>
    </row>
    <row r="17" spans="1:32" x14ac:dyDescent="0.25">
      <c r="A17" s="20">
        <v>45316</v>
      </c>
      <c r="B17" s="2">
        <v>1003</v>
      </c>
      <c r="C17" s="19" t="s">
        <v>135</v>
      </c>
      <c r="D17" s="19" t="s">
        <v>2</v>
      </c>
      <c r="E17" s="19" t="s">
        <v>2</v>
      </c>
      <c r="F17" s="19" t="s">
        <v>136</v>
      </c>
      <c r="G17" s="19" t="s">
        <v>137</v>
      </c>
      <c r="H17" s="19" t="s">
        <v>138</v>
      </c>
      <c r="I17" s="19" t="s">
        <v>139</v>
      </c>
      <c r="J17" s="2" t="s">
        <v>2</v>
      </c>
      <c r="K17" s="20">
        <v>45317</v>
      </c>
      <c r="L17" s="20">
        <v>45317</v>
      </c>
      <c r="M17" s="22">
        <v>125</v>
      </c>
      <c r="N17" s="21">
        <v>105250</v>
      </c>
      <c r="O17" s="2" t="s">
        <v>76</v>
      </c>
      <c r="P17" s="2" t="s">
        <v>4</v>
      </c>
      <c r="Q17" s="2" t="s">
        <v>5</v>
      </c>
      <c r="R17" s="21">
        <f t="shared" si="0"/>
        <v>105250</v>
      </c>
      <c r="S17" s="21">
        <v>105250</v>
      </c>
      <c r="T17" s="5">
        <f t="shared" si="1"/>
        <v>0</v>
      </c>
      <c r="U17">
        <f t="shared" si="2"/>
        <v>1</v>
      </c>
      <c r="V17">
        <f t="shared" si="3"/>
        <v>1</v>
      </c>
      <c r="W17" s="5">
        <f t="shared" si="4"/>
        <v>0</v>
      </c>
      <c r="X17" s="2" t="s">
        <v>6</v>
      </c>
      <c r="Y17" s="2" t="s">
        <v>2</v>
      </c>
      <c r="Z17">
        <v>676</v>
      </c>
      <c r="AC17">
        <f t="shared" si="5"/>
        <v>2024</v>
      </c>
      <c r="AD17">
        <f t="shared" si="6"/>
        <v>2024</v>
      </c>
      <c r="AE17">
        <f t="shared" si="7"/>
        <v>2024</v>
      </c>
      <c r="AF17">
        <f t="shared" si="8"/>
        <v>1</v>
      </c>
    </row>
    <row r="18" spans="1:32" x14ac:dyDescent="0.25">
      <c r="A18" s="20">
        <v>45317</v>
      </c>
      <c r="B18" s="2">
        <v>1004</v>
      </c>
      <c r="C18" s="19" t="s">
        <v>1732</v>
      </c>
      <c r="D18" s="19" t="s">
        <v>2</v>
      </c>
      <c r="E18" s="19" t="s">
        <v>2</v>
      </c>
      <c r="F18" s="19" t="s">
        <v>140</v>
      </c>
      <c r="G18" s="19" t="s">
        <v>141</v>
      </c>
      <c r="H18" s="19" t="s">
        <v>142</v>
      </c>
      <c r="I18" s="19" t="s">
        <v>143</v>
      </c>
      <c r="J18" s="2" t="s">
        <v>2</v>
      </c>
      <c r="K18" s="20">
        <v>45322</v>
      </c>
      <c r="L18" s="20">
        <v>45318</v>
      </c>
      <c r="M18" s="22">
        <v>100</v>
      </c>
      <c r="N18" s="21">
        <v>84500</v>
      </c>
      <c r="O18" s="2" t="s">
        <v>76</v>
      </c>
      <c r="P18" s="2" t="s">
        <v>4</v>
      </c>
      <c r="Q18" s="2" t="s">
        <v>5</v>
      </c>
      <c r="R18" s="21">
        <f t="shared" si="0"/>
        <v>84500</v>
      </c>
      <c r="S18" s="21">
        <v>84500</v>
      </c>
      <c r="T18" s="5">
        <f t="shared" si="1"/>
        <v>0</v>
      </c>
      <c r="U18">
        <f t="shared" si="2"/>
        <v>1</v>
      </c>
      <c r="V18">
        <f t="shared" si="3"/>
        <v>1</v>
      </c>
      <c r="W18" s="5">
        <f t="shared" si="4"/>
        <v>0</v>
      </c>
      <c r="X18" s="2" t="s">
        <v>6</v>
      </c>
      <c r="Y18" s="2" t="s">
        <v>2</v>
      </c>
      <c r="Z18">
        <v>675</v>
      </c>
      <c r="AC18">
        <f t="shared" si="5"/>
        <v>2024</v>
      </c>
      <c r="AD18">
        <f t="shared" si="6"/>
        <v>2024</v>
      </c>
      <c r="AE18">
        <f t="shared" si="7"/>
        <v>2024</v>
      </c>
      <c r="AF18">
        <f t="shared" si="8"/>
        <v>1</v>
      </c>
    </row>
    <row r="19" spans="1:32" x14ac:dyDescent="0.25">
      <c r="A19" s="20">
        <v>45321</v>
      </c>
      <c r="B19" s="2">
        <v>1005</v>
      </c>
      <c r="C19" s="19" t="s">
        <v>147</v>
      </c>
      <c r="D19" s="19" t="s">
        <v>2</v>
      </c>
      <c r="E19" s="19" t="s">
        <v>2</v>
      </c>
      <c r="F19" s="19" t="s">
        <v>148</v>
      </c>
      <c r="G19" s="19" t="s">
        <v>149</v>
      </c>
      <c r="H19" s="19" t="s">
        <v>150</v>
      </c>
      <c r="I19" s="19" t="s">
        <v>151</v>
      </c>
      <c r="J19" s="2" t="s">
        <v>2</v>
      </c>
      <c r="K19" s="20">
        <v>45323</v>
      </c>
      <c r="L19" s="20">
        <v>45323</v>
      </c>
      <c r="M19" s="22">
        <v>67</v>
      </c>
      <c r="N19" s="21">
        <v>56800</v>
      </c>
      <c r="O19" s="2" t="s">
        <v>76</v>
      </c>
      <c r="P19" s="2" t="s">
        <v>4</v>
      </c>
      <c r="Q19" s="2" t="s">
        <v>5</v>
      </c>
      <c r="R19" s="21">
        <f t="shared" si="0"/>
        <v>56800</v>
      </c>
      <c r="S19" s="21">
        <v>56800</v>
      </c>
      <c r="T19" s="5">
        <f t="shared" si="1"/>
        <v>0</v>
      </c>
      <c r="U19">
        <f t="shared" si="2"/>
        <v>2</v>
      </c>
      <c r="V19">
        <f t="shared" si="3"/>
        <v>1</v>
      </c>
      <c r="W19" s="5">
        <f t="shared" si="4"/>
        <v>0</v>
      </c>
      <c r="X19" s="2" t="s">
        <v>6</v>
      </c>
      <c r="Y19" s="2" t="s">
        <v>2</v>
      </c>
      <c r="Z19">
        <v>679</v>
      </c>
      <c r="AC19">
        <f t="shared" si="5"/>
        <v>2024</v>
      </c>
      <c r="AD19">
        <f t="shared" si="6"/>
        <v>2024</v>
      </c>
      <c r="AE19">
        <f t="shared" si="7"/>
        <v>2024</v>
      </c>
      <c r="AF19">
        <f t="shared" si="8"/>
        <v>2</v>
      </c>
    </row>
    <row r="20" spans="1:32" x14ac:dyDescent="0.25">
      <c r="A20" s="20">
        <v>45323</v>
      </c>
      <c r="B20" s="2">
        <v>1006</v>
      </c>
      <c r="C20" s="19" t="s">
        <v>535</v>
      </c>
      <c r="D20" s="19" t="s">
        <v>2</v>
      </c>
      <c r="E20" s="19" t="s">
        <v>2</v>
      </c>
      <c r="F20" s="19" t="s">
        <v>86</v>
      </c>
      <c r="G20" s="19" t="s">
        <v>152</v>
      </c>
      <c r="H20" s="19" t="s">
        <v>153</v>
      </c>
      <c r="I20" s="19" t="s">
        <v>154</v>
      </c>
      <c r="J20" s="2" t="s">
        <v>2</v>
      </c>
      <c r="K20" s="20">
        <v>45323</v>
      </c>
      <c r="L20" s="20">
        <v>45327</v>
      </c>
      <c r="M20" s="22">
        <v>175</v>
      </c>
      <c r="N20" s="21">
        <v>147500</v>
      </c>
      <c r="O20" s="2" t="s">
        <v>76</v>
      </c>
      <c r="P20" s="2" t="s">
        <v>4</v>
      </c>
      <c r="Q20" s="2" t="s">
        <v>5</v>
      </c>
      <c r="R20" s="21">
        <f t="shared" si="0"/>
        <v>147500</v>
      </c>
      <c r="S20" s="21">
        <v>147500</v>
      </c>
      <c r="T20" s="5">
        <f t="shared" si="1"/>
        <v>0</v>
      </c>
      <c r="U20">
        <f t="shared" si="2"/>
        <v>2</v>
      </c>
      <c r="V20">
        <f t="shared" si="3"/>
        <v>2</v>
      </c>
      <c r="W20" s="5">
        <f t="shared" si="4"/>
        <v>0</v>
      </c>
      <c r="X20" s="2" t="s">
        <v>6</v>
      </c>
      <c r="Y20" s="2" t="s">
        <v>2</v>
      </c>
      <c r="Z20">
        <v>677</v>
      </c>
      <c r="AC20">
        <f t="shared" si="5"/>
        <v>2024</v>
      </c>
      <c r="AD20">
        <f t="shared" si="6"/>
        <v>2024</v>
      </c>
      <c r="AE20">
        <f t="shared" si="7"/>
        <v>2024</v>
      </c>
      <c r="AF20">
        <f t="shared" si="8"/>
        <v>2</v>
      </c>
    </row>
    <row r="21" spans="1:32" x14ac:dyDescent="0.25">
      <c r="A21" s="20">
        <v>45323</v>
      </c>
      <c r="B21" s="2">
        <v>1007</v>
      </c>
      <c r="C21" s="19" t="s">
        <v>535</v>
      </c>
      <c r="D21" s="19" t="s">
        <v>2</v>
      </c>
      <c r="E21" s="19" t="s">
        <v>2</v>
      </c>
      <c r="F21" s="19" t="s">
        <v>86</v>
      </c>
      <c r="G21" s="19" t="s">
        <v>152</v>
      </c>
      <c r="H21" s="19" t="s">
        <v>153</v>
      </c>
      <c r="I21" s="19" t="s">
        <v>155</v>
      </c>
      <c r="J21" s="2" t="s">
        <v>2</v>
      </c>
      <c r="L21" s="20"/>
      <c r="M21" s="22">
        <v>0</v>
      </c>
      <c r="N21" s="21">
        <v>0</v>
      </c>
      <c r="O21" s="2" t="s">
        <v>3</v>
      </c>
      <c r="P21" s="2" t="s">
        <v>134</v>
      </c>
      <c r="Q21" s="2" t="s">
        <v>97</v>
      </c>
      <c r="R21" s="21">
        <f t="shared" si="0"/>
        <v>0</v>
      </c>
      <c r="S21" s="21">
        <v>0</v>
      </c>
      <c r="T21" s="5">
        <f t="shared" si="1"/>
        <v>0</v>
      </c>
      <c r="U21" t="str">
        <f t="shared" si="2"/>
        <v/>
      </c>
      <c r="V21">
        <f t="shared" si="3"/>
        <v>2</v>
      </c>
      <c r="W21" s="5">
        <f t="shared" si="4"/>
        <v>0</v>
      </c>
      <c r="X21" s="2" t="s">
        <v>6</v>
      </c>
      <c r="Y21" s="2" t="s">
        <v>2</v>
      </c>
      <c r="AC21" t="str">
        <f t="shared" si="5"/>
        <v/>
      </c>
      <c r="AD21">
        <f t="shared" si="6"/>
        <v>2024</v>
      </c>
      <c r="AE21" t="str">
        <f t="shared" si="7"/>
        <v/>
      </c>
      <c r="AF21" t="str">
        <f t="shared" si="8"/>
        <v/>
      </c>
    </row>
    <row r="22" spans="1:32" x14ac:dyDescent="0.25">
      <c r="A22" s="20">
        <v>45324</v>
      </c>
      <c r="B22" s="2">
        <v>1008</v>
      </c>
      <c r="C22" s="19" t="s">
        <v>156</v>
      </c>
      <c r="D22" s="19" t="s">
        <v>2</v>
      </c>
      <c r="E22" s="19" t="s">
        <v>2</v>
      </c>
      <c r="F22" s="19" t="s">
        <v>157</v>
      </c>
      <c r="G22" s="19" t="s">
        <v>158</v>
      </c>
      <c r="H22" s="19" t="s">
        <v>159</v>
      </c>
      <c r="I22" s="19" t="s">
        <v>160</v>
      </c>
      <c r="J22" s="2" t="s">
        <v>2</v>
      </c>
      <c r="K22" s="20">
        <v>45338</v>
      </c>
      <c r="L22" s="20">
        <v>45328</v>
      </c>
      <c r="M22" s="22">
        <v>197.5</v>
      </c>
      <c r="N22" s="21">
        <v>167500</v>
      </c>
      <c r="O22" s="2" t="s">
        <v>76</v>
      </c>
      <c r="P22" s="2" t="s">
        <v>4</v>
      </c>
      <c r="Q22" s="2" t="s">
        <v>5</v>
      </c>
      <c r="R22" s="21">
        <f t="shared" si="0"/>
        <v>167500</v>
      </c>
      <c r="S22" s="21">
        <v>167500</v>
      </c>
      <c r="T22" s="5">
        <f t="shared" si="1"/>
        <v>0</v>
      </c>
      <c r="U22">
        <f t="shared" si="2"/>
        <v>2</v>
      </c>
      <c r="V22">
        <f t="shared" si="3"/>
        <v>2</v>
      </c>
      <c r="W22" s="5">
        <f t="shared" si="4"/>
        <v>0</v>
      </c>
      <c r="X22" s="2" t="s">
        <v>6</v>
      </c>
      <c r="Y22" s="2" t="s">
        <v>2</v>
      </c>
      <c r="Z22">
        <v>681</v>
      </c>
      <c r="AA22" t="s">
        <v>1515</v>
      </c>
      <c r="AC22">
        <f t="shared" si="5"/>
        <v>2024</v>
      </c>
      <c r="AD22">
        <f t="shared" si="6"/>
        <v>2024</v>
      </c>
      <c r="AE22">
        <f t="shared" si="7"/>
        <v>2024</v>
      </c>
      <c r="AF22">
        <f t="shared" si="8"/>
        <v>2</v>
      </c>
    </row>
    <row r="23" spans="1:32" x14ac:dyDescent="0.25">
      <c r="A23" s="20">
        <v>45329</v>
      </c>
      <c r="B23" s="2">
        <v>1009</v>
      </c>
      <c r="C23" s="19" t="s">
        <v>161</v>
      </c>
      <c r="D23" s="19" t="s">
        <v>2</v>
      </c>
      <c r="E23" s="19" t="s">
        <v>2</v>
      </c>
      <c r="F23" s="19" t="s">
        <v>162</v>
      </c>
      <c r="G23" s="19" t="s">
        <v>163</v>
      </c>
      <c r="H23" s="19" t="s">
        <v>164</v>
      </c>
      <c r="I23" s="19" t="s">
        <v>165</v>
      </c>
      <c r="J23" s="2" t="s">
        <v>166</v>
      </c>
      <c r="K23" s="20">
        <v>45329</v>
      </c>
      <c r="L23" s="20">
        <v>45329</v>
      </c>
      <c r="M23" s="22">
        <v>70</v>
      </c>
      <c r="N23" s="21">
        <v>60000</v>
      </c>
      <c r="O23" s="2" t="s">
        <v>76</v>
      </c>
      <c r="P23" s="2" t="s">
        <v>4</v>
      </c>
      <c r="Q23" s="2" t="s">
        <v>5</v>
      </c>
      <c r="R23" s="21">
        <f t="shared" si="0"/>
        <v>60000</v>
      </c>
      <c r="S23" s="21">
        <v>60000</v>
      </c>
      <c r="T23" s="5">
        <f t="shared" si="1"/>
        <v>0</v>
      </c>
      <c r="U23">
        <f t="shared" si="2"/>
        <v>2</v>
      </c>
      <c r="V23">
        <f t="shared" si="3"/>
        <v>2</v>
      </c>
      <c r="W23" s="5">
        <f t="shared" si="4"/>
        <v>0</v>
      </c>
      <c r="X23" s="2" t="s">
        <v>6</v>
      </c>
      <c r="Y23" s="2" t="s">
        <v>2</v>
      </c>
      <c r="Z23">
        <v>678</v>
      </c>
      <c r="AC23">
        <f t="shared" si="5"/>
        <v>2024</v>
      </c>
      <c r="AD23">
        <f t="shared" si="6"/>
        <v>2024</v>
      </c>
      <c r="AE23">
        <f t="shared" si="7"/>
        <v>2024</v>
      </c>
      <c r="AF23">
        <f t="shared" si="8"/>
        <v>2</v>
      </c>
    </row>
    <row r="24" spans="1:32" x14ac:dyDescent="0.25">
      <c r="A24" s="20">
        <v>45331</v>
      </c>
      <c r="B24" s="2">
        <v>1010</v>
      </c>
      <c r="C24" s="19" t="s">
        <v>1</v>
      </c>
      <c r="D24" s="19" t="s">
        <v>2</v>
      </c>
      <c r="E24" s="19" t="s">
        <v>2</v>
      </c>
      <c r="F24" s="19" t="s">
        <v>167</v>
      </c>
      <c r="G24" s="19" t="s">
        <v>125</v>
      </c>
      <c r="H24" s="19" t="s">
        <v>168</v>
      </c>
      <c r="I24" s="19" t="s">
        <v>169</v>
      </c>
      <c r="J24" s="2" t="s">
        <v>2</v>
      </c>
      <c r="K24" s="20">
        <v>45349</v>
      </c>
      <c r="L24" s="20">
        <v>45334</v>
      </c>
      <c r="M24" s="22">
        <v>490</v>
      </c>
      <c r="N24" s="21">
        <v>416500</v>
      </c>
      <c r="O24" s="2" t="s">
        <v>76</v>
      </c>
      <c r="P24" s="2" t="s">
        <v>4</v>
      </c>
      <c r="Q24" s="2" t="s">
        <v>5</v>
      </c>
      <c r="R24" s="21">
        <f t="shared" si="0"/>
        <v>416500</v>
      </c>
      <c r="S24" s="21">
        <v>416500</v>
      </c>
      <c r="T24" s="5">
        <f t="shared" si="1"/>
        <v>0</v>
      </c>
      <c r="U24">
        <f t="shared" si="2"/>
        <v>2</v>
      </c>
      <c r="V24">
        <f t="shared" si="3"/>
        <v>2</v>
      </c>
      <c r="W24" s="5">
        <f t="shared" si="4"/>
        <v>0</v>
      </c>
      <c r="X24" s="2" t="s">
        <v>6</v>
      </c>
      <c r="Y24" s="2" t="s">
        <v>2</v>
      </c>
      <c r="Z24">
        <v>688</v>
      </c>
      <c r="AA24" t="s">
        <v>1516</v>
      </c>
      <c r="AC24">
        <f t="shared" si="5"/>
        <v>2024</v>
      </c>
      <c r="AD24">
        <f t="shared" si="6"/>
        <v>2024</v>
      </c>
      <c r="AE24">
        <f t="shared" si="7"/>
        <v>2024</v>
      </c>
      <c r="AF24">
        <f t="shared" si="8"/>
        <v>2</v>
      </c>
    </row>
    <row r="25" spans="1:32" x14ac:dyDescent="0.25">
      <c r="A25" s="20">
        <v>45334</v>
      </c>
      <c r="B25" s="2">
        <v>1011</v>
      </c>
      <c r="C25" s="19" t="s">
        <v>129</v>
      </c>
      <c r="D25" s="19" t="s">
        <v>2</v>
      </c>
      <c r="E25" s="19" t="s">
        <v>2</v>
      </c>
      <c r="F25" s="19" t="s">
        <v>170</v>
      </c>
      <c r="G25" s="19" t="s">
        <v>171</v>
      </c>
      <c r="H25" s="19" t="s">
        <v>172</v>
      </c>
      <c r="I25" s="19" t="s">
        <v>173</v>
      </c>
      <c r="J25" s="2" t="s">
        <v>2</v>
      </c>
      <c r="K25" s="20">
        <v>45335</v>
      </c>
      <c r="L25" s="20">
        <v>45334</v>
      </c>
      <c r="M25" s="22">
        <v>90</v>
      </c>
      <c r="N25" s="21">
        <v>76320</v>
      </c>
      <c r="O25" s="2" t="s">
        <v>76</v>
      </c>
      <c r="P25" s="2" t="s">
        <v>4</v>
      </c>
      <c r="Q25" s="2" t="s">
        <v>5</v>
      </c>
      <c r="R25" s="21">
        <f t="shared" si="0"/>
        <v>76320</v>
      </c>
      <c r="S25" s="21">
        <v>76320</v>
      </c>
      <c r="T25" s="5">
        <f t="shared" si="1"/>
        <v>0</v>
      </c>
      <c r="U25">
        <f t="shared" si="2"/>
        <v>2</v>
      </c>
      <c r="V25">
        <f t="shared" si="3"/>
        <v>2</v>
      </c>
      <c r="W25" s="5">
        <f t="shared" si="4"/>
        <v>0</v>
      </c>
      <c r="X25" s="2" t="s">
        <v>6</v>
      </c>
      <c r="Y25" s="2" t="s">
        <v>2</v>
      </c>
      <c r="Z25">
        <v>680</v>
      </c>
      <c r="AA25" t="s">
        <v>1517</v>
      </c>
      <c r="AC25">
        <f t="shared" si="5"/>
        <v>2024</v>
      </c>
      <c r="AD25">
        <f t="shared" si="6"/>
        <v>2024</v>
      </c>
      <c r="AE25">
        <f t="shared" si="7"/>
        <v>2024</v>
      </c>
      <c r="AF25">
        <f t="shared" si="8"/>
        <v>2</v>
      </c>
    </row>
    <row r="26" spans="1:32" x14ac:dyDescent="0.25">
      <c r="A26" s="20">
        <v>45334</v>
      </c>
      <c r="B26" s="2">
        <v>1012</v>
      </c>
      <c r="C26" s="19" t="s">
        <v>129</v>
      </c>
      <c r="D26" s="19" t="s">
        <v>2</v>
      </c>
      <c r="E26" s="19" t="s">
        <v>2</v>
      </c>
      <c r="F26" s="19" t="s">
        <v>170</v>
      </c>
      <c r="G26" s="19" t="s">
        <v>174</v>
      </c>
      <c r="H26" s="19" t="s">
        <v>172</v>
      </c>
      <c r="I26" s="19" t="s">
        <v>175</v>
      </c>
      <c r="J26" s="2" t="s">
        <v>2</v>
      </c>
      <c r="K26" s="20">
        <v>45334</v>
      </c>
      <c r="L26" s="20">
        <v>45334</v>
      </c>
      <c r="M26" s="22">
        <v>90</v>
      </c>
      <c r="N26" s="21">
        <v>76320</v>
      </c>
      <c r="O26" s="2" t="s">
        <v>76</v>
      </c>
      <c r="P26" s="2" t="s">
        <v>4</v>
      </c>
      <c r="Q26" s="2" t="s">
        <v>5</v>
      </c>
      <c r="R26" s="21">
        <f t="shared" si="0"/>
        <v>76320</v>
      </c>
      <c r="S26" s="21">
        <v>76320</v>
      </c>
      <c r="T26" s="5">
        <f t="shared" si="1"/>
        <v>0</v>
      </c>
      <c r="U26">
        <f t="shared" si="2"/>
        <v>2</v>
      </c>
      <c r="V26">
        <f t="shared" si="3"/>
        <v>2</v>
      </c>
      <c r="W26" s="5">
        <f t="shared" si="4"/>
        <v>0</v>
      </c>
      <c r="X26" s="2" t="s">
        <v>6</v>
      </c>
      <c r="Y26" s="2" t="s">
        <v>2</v>
      </c>
      <c r="Z26">
        <v>680</v>
      </c>
      <c r="AA26" t="s">
        <v>1517</v>
      </c>
      <c r="AC26">
        <f t="shared" si="5"/>
        <v>2024</v>
      </c>
      <c r="AD26">
        <f t="shared" si="6"/>
        <v>2024</v>
      </c>
      <c r="AE26">
        <f t="shared" si="7"/>
        <v>2024</v>
      </c>
      <c r="AF26">
        <f t="shared" si="8"/>
        <v>2</v>
      </c>
    </row>
    <row r="27" spans="1:32" x14ac:dyDescent="0.25">
      <c r="A27" s="20">
        <v>45335</v>
      </c>
      <c r="B27" s="2">
        <v>1013</v>
      </c>
      <c r="C27" s="19" t="s">
        <v>161</v>
      </c>
      <c r="D27" s="19" t="s">
        <v>2</v>
      </c>
      <c r="E27" s="19" t="s">
        <v>2</v>
      </c>
      <c r="F27" s="19" t="s">
        <v>176</v>
      </c>
      <c r="G27" s="19" t="s">
        <v>177</v>
      </c>
      <c r="H27" s="19" t="s">
        <v>178</v>
      </c>
      <c r="I27" s="19" t="s">
        <v>179</v>
      </c>
      <c r="J27" s="2" t="s">
        <v>2</v>
      </c>
      <c r="K27" s="20">
        <v>45335</v>
      </c>
      <c r="L27" s="20">
        <v>45343</v>
      </c>
      <c r="M27" s="22">
        <v>135</v>
      </c>
      <c r="N27" s="21">
        <v>115500</v>
      </c>
      <c r="O27" s="2" t="s">
        <v>76</v>
      </c>
      <c r="P27" s="2" t="s">
        <v>4</v>
      </c>
      <c r="Q27" s="2" t="s">
        <v>5</v>
      </c>
      <c r="R27" s="21">
        <f t="shared" si="0"/>
        <v>115500</v>
      </c>
      <c r="S27" s="21">
        <v>115500</v>
      </c>
      <c r="T27" s="5">
        <f t="shared" si="1"/>
        <v>0</v>
      </c>
      <c r="U27">
        <f t="shared" si="2"/>
        <v>2</v>
      </c>
      <c r="V27">
        <f t="shared" si="3"/>
        <v>2</v>
      </c>
      <c r="W27" s="5">
        <f t="shared" si="4"/>
        <v>0</v>
      </c>
      <c r="X27" s="2" t="s">
        <v>6</v>
      </c>
      <c r="Y27" s="2" t="s">
        <v>2</v>
      </c>
      <c r="Z27">
        <v>684</v>
      </c>
      <c r="AA27" t="s">
        <v>1518</v>
      </c>
      <c r="AC27">
        <f t="shared" si="5"/>
        <v>2024</v>
      </c>
      <c r="AD27">
        <f t="shared" si="6"/>
        <v>2024</v>
      </c>
      <c r="AE27">
        <f t="shared" si="7"/>
        <v>2024</v>
      </c>
      <c r="AF27">
        <f t="shared" si="8"/>
        <v>2</v>
      </c>
    </row>
    <row r="28" spans="1:32" x14ac:dyDescent="0.25">
      <c r="A28" s="20">
        <v>45336.125</v>
      </c>
      <c r="B28" s="2">
        <v>1014</v>
      </c>
      <c r="C28" s="19" t="s">
        <v>1185</v>
      </c>
      <c r="D28" s="19" t="s">
        <v>2</v>
      </c>
      <c r="E28" s="19" t="s">
        <v>2</v>
      </c>
      <c r="F28" s="19" t="s">
        <v>181</v>
      </c>
      <c r="G28" s="19" t="s">
        <v>182</v>
      </c>
      <c r="H28" s="19" t="s">
        <v>183</v>
      </c>
      <c r="I28" s="19" t="s">
        <v>184</v>
      </c>
      <c r="J28" s="2" t="s">
        <v>2</v>
      </c>
      <c r="K28" s="20">
        <v>45336.125</v>
      </c>
      <c r="L28" s="20">
        <v>45337.125</v>
      </c>
      <c r="M28" s="22">
        <v>240</v>
      </c>
      <c r="N28" s="21">
        <v>240720</v>
      </c>
      <c r="O28" s="2" t="s">
        <v>76</v>
      </c>
      <c r="P28" s="2" t="s">
        <v>4</v>
      </c>
      <c r="Q28" s="2" t="s">
        <v>5</v>
      </c>
      <c r="R28" s="21">
        <f t="shared" si="0"/>
        <v>240720</v>
      </c>
      <c r="S28" s="21">
        <v>240720</v>
      </c>
      <c r="T28" s="5">
        <f t="shared" si="1"/>
        <v>0</v>
      </c>
      <c r="U28">
        <f t="shared" si="2"/>
        <v>2</v>
      </c>
      <c r="V28">
        <f t="shared" si="3"/>
        <v>2</v>
      </c>
      <c r="W28" s="5">
        <f t="shared" si="4"/>
        <v>0</v>
      </c>
      <c r="X28" s="2" t="s">
        <v>6</v>
      </c>
      <c r="Y28" s="2" t="s">
        <v>2</v>
      </c>
      <c r="Z28">
        <v>687</v>
      </c>
      <c r="AA28" t="s">
        <v>1519</v>
      </c>
      <c r="AC28">
        <f t="shared" si="5"/>
        <v>2024</v>
      </c>
      <c r="AD28">
        <f t="shared" si="6"/>
        <v>2024</v>
      </c>
      <c r="AE28">
        <f t="shared" si="7"/>
        <v>2024</v>
      </c>
      <c r="AF28">
        <f t="shared" si="8"/>
        <v>2</v>
      </c>
    </row>
    <row r="29" spans="1:32" x14ac:dyDescent="0.25">
      <c r="A29" s="20">
        <v>45343</v>
      </c>
      <c r="B29" s="2">
        <v>1015</v>
      </c>
      <c r="C29" s="19" t="s">
        <v>185</v>
      </c>
      <c r="D29" s="19" t="s">
        <v>2</v>
      </c>
      <c r="E29" s="19" t="s">
        <v>2</v>
      </c>
      <c r="F29" s="19" t="s">
        <v>186</v>
      </c>
      <c r="G29" s="19" t="s">
        <v>187</v>
      </c>
      <c r="H29" s="19" t="s">
        <v>188</v>
      </c>
      <c r="I29" s="19" t="s">
        <v>189</v>
      </c>
      <c r="J29" s="2" t="s">
        <v>2</v>
      </c>
      <c r="K29" s="20">
        <v>45345</v>
      </c>
      <c r="L29" s="20">
        <v>45343</v>
      </c>
      <c r="M29" s="22">
        <v>280</v>
      </c>
      <c r="N29" s="21">
        <v>216000</v>
      </c>
      <c r="O29" s="2" t="s">
        <v>76</v>
      </c>
      <c r="P29" s="2" t="s">
        <v>4</v>
      </c>
      <c r="Q29" s="2" t="s">
        <v>5</v>
      </c>
      <c r="R29" s="21">
        <f t="shared" si="0"/>
        <v>216000</v>
      </c>
      <c r="S29" s="21">
        <v>216000</v>
      </c>
      <c r="T29" s="5">
        <f t="shared" si="1"/>
        <v>0</v>
      </c>
      <c r="U29">
        <f t="shared" si="2"/>
        <v>2</v>
      </c>
      <c r="V29">
        <f t="shared" si="3"/>
        <v>2</v>
      </c>
      <c r="W29" s="5">
        <f t="shared" si="4"/>
        <v>0</v>
      </c>
      <c r="X29" s="2" t="s">
        <v>6</v>
      </c>
      <c r="Y29" s="2" t="s">
        <v>2</v>
      </c>
      <c r="Z29">
        <v>686</v>
      </c>
      <c r="AC29">
        <f t="shared" si="5"/>
        <v>2024</v>
      </c>
      <c r="AD29">
        <f t="shared" si="6"/>
        <v>2024</v>
      </c>
      <c r="AE29">
        <f t="shared" si="7"/>
        <v>2024</v>
      </c>
      <c r="AF29">
        <f t="shared" si="8"/>
        <v>2</v>
      </c>
    </row>
    <row r="30" spans="1:32" x14ac:dyDescent="0.25">
      <c r="A30" s="20">
        <v>45343</v>
      </c>
      <c r="B30" s="2">
        <v>1016</v>
      </c>
      <c r="C30" s="19" t="s">
        <v>190</v>
      </c>
      <c r="D30" s="19" t="s">
        <v>2</v>
      </c>
      <c r="E30" s="19" t="s">
        <v>2</v>
      </c>
      <c r="F30" s="19" t="s">
        <v>191</v>
      </c>
      <c r="G30" s="19" t="s">
        <v>163</v>
      </c>
      <c r="H30" s="19" t="s">
        <v>192</v>
      </c>
      <c r="I30" s="19" t="s">
        <v>193</v>
      </c>
      <c r="J30" s="2" t="s">
        <v>2</v>
      </c>
      <c r="K30" s="20">
        <v>45343</v>
      </c>
      <c r="L30" s="20">
        <v>45343</v>
      </c>
      <c r="M30" s="22">
        <v>50</v>
      </c>
      <c r="N30" s="21">
        <v>43000</v>
      </c>
      <c r="O30" s="2" t="s">
        <v>76</v>
      </c>
      <c r="P30" s="2" t="s">
        <v>4</v>
      </c>
      <c r="Q30" s="2" t="s">
        <v>5</v>
      </c>
      <c r="R30" s="21">
        <f t="shared" si="0"/>
        <v>43000</v>
      </c>
      <c r="S30" s="21">
        <v>43000</v>
      </c>
      <c r="T30" s="5">
        <f t="shared" si="1"/>
        <v>0</v>
      </c>
      <c r="U30">
        <f t="shared" si="2"/>
        <v>2</v>
      </c>
      <c r="V30">
        <f t="shared" si="3"/>
        <v>2</v>
      </c>
      <c r="W30" s="5">
        <f t="shared" si="4"/>
        <v>0</v>
      </c>
      <c r="X30" s="2" t="s">
        <v>6</v>
      </c>
      <c r="Y30" s="2" t="s">
        <v>2</v>
      </c>
      <c r="AC30">
        <f t="shared" si="5"/>
        <v>2024</v>
      </c>
      <c r="AD30">
        <f t="shared" si="6"/>
        <v>2024</v>
      </c>
      <c r="AE30">
        <f t="shared" si="7"/>
        <v>2024</v>
      </c>
      <c r="AF30">
        <f t="shared" si="8"/>
        <v>2</v>
      </c>
    </row>
    <row r="31" spans="1:32" x14ac:dyDescent="0.25">
      <c r="A31" s="20">
        <v>45344</v>
      </c>
      <c r="B31" s="2">
        <v>1017</v>
      </c>
      <c r="C31" s="19" t="s">
        <v>194</v>
      </c>
      <c r="D31" s="19" t="s">
        <v>2</v>
      </c>
      <c r="E31" s="19" t="s">
        <v>2</v>
      </c>
      <c r="F31" s="19" t="s">
        <v>86</v>
      </c>
      <c r="G31" s="19" t="s">
        <v>195</v>
      </c>
      <c r="H31" s="19" t="s">
        <v>196</v>
      </c>
      <c r="I31" s="19" t="s">
        <v>197</v>
      </c>
      <c r="J31" s="2" t="s">
        <v>2</v>
      </c>
      <c r="K31" s="20">
        <v>45344</v>
      </c>
      <c r="L31" s="20">
        <v>45345</v>
      </c>
      <c r="M31" s="22">
        <v>140</v>
      </c>
      <c r="N31" s="21">
        <v>110000</v>
      </c>
      <c r="O31" s="2" t="s">
        <v>76</v>
      </c>
      <c r="P31" s="2" t="s">
        <v>4</v>
      </c>
      <c r="Q31" s="2" t="s">
        <v>5</v>
      </c>
      <c r="R31" s="21">
        <f t="shared" si="0"/>
        <v>110000</v>
      </c>
      <c r="S31" s="21">
        <v>110000</v>
      </c>
      <c r="T31" s="5">
        <f t="shared" si="1"/>
        <v>0</v>
      </c>
      <c r="U31">
        <f t="shared" si="2"/>
        <v>2</v>
      </c>
      <c r="V31">
        <f t="shared" si="3"/>
        <v>2</v>
      </c>
      <c r="W31" s="5">
        <f t="shared" si="4"/>
        <v>0</v>
      </c>
      <c r="X31" s="2" t="s">
        <v>6</v>
      </c>
      <c r="Y31" s="2" t="s">
        <v>2</v>
      </c>
      <c r="Z31">
        <v>685</v>
      </c>
      <c r="AC31">
        <f t="shared" si="5"/>
        <v>2024</v>
      </c>
      <c r="AD31">
        <f t="shared" si="6"/>
        <v>2024</v>
      </c>
      <c r="AE31">
        <f t="shared" si="7"/>
        <v>2024</v>
      </c>
      <c r="AF31">
        <f t="shared" si="8"/>
        <v>2</v>
      </c>
    </row>
    <row r="32" spans="1:32" x14ac:dyDescent="0.25">
      <c r="A32" s="20">
        <v>45344</v>
      </c>
      <c r="B32" s="2">
        <v>1018</v>
      </c>
      <c r="C32" s="19" t="s">
        <v>161</v>
      </c>
      <c r="D32" s="19" t="s">
        <v>2</v>
      </c>
      <c r="E32" s="19" t="s">
        <v>2</v>
      </c>
      <c r="F32" s="19" t="s">
        <v>198</v>
      </c>
      <c r="G32" s="19" t="s">
        <v>177</v>
      </c>
      <c r="H32" s="19" t="s">
        <v>199</v>
      </c>
      <c r="I32" s="19" t="s">
        <v>200</v>
      </c>
      <c r="J32" s="2" t="s">
        <v>201</v>
      </c>
      <c r="K32" s="20">
        <v>45350</v>
      </c>
      <c r="L32" s="20">
        <v>45349</v>
      </c>
      <c r="M32" s="22">
        <v>84</v>
      </c>
      <c r="N32" s="21">
        <v>72500</v>
      </c>
      <c r="O32" s="2" t="s">
        <v>76</v>
      </c>
      <c r="P32" s="2" t="s">
        <v>4</v>
      </c>
      <c r="Q32" s="2" t="s">
        <v>5</v>
      </c>
      <c r="R32" s="21">
        <f t="shared" si="0"/>
        <v>72500</v>
      </c>
      <c r="S32" s="21">
        <v>72500</v>
      </c>
      <c r="T32" s="5">
        <f t="shared" si="1"/>
        <v>0</v>
      </c>
      <c r="U32">
        <f t="shared" si="2"/>
        <v>2</v>
      </c>
      <c r="V32">
        <f t="shared" si="3"/>
        <v>2</v>
      </c>
      <c r="W32" s="5">
        <f t="shared" si="4"/>
        <v>0</v>
      </c>
      <c r="X32" s="2" t="s">
        <v>6</v>
      </c>
      <c r="Y32" s="2" t="s">
        <v>2</v>
      </c>
      <c r="Z32">
        <v>690</v>
      </c>
      <c r="AC32">
        <f t="shared" si="5"/>
        <v>2024</v>
      </c>
      <c r="AD32">
        <f t="shared" si="6"/>
        <v>2024</v>
      </c>
      <c r="AE32">
        <f t="shared" si="7"/>
        <v>2024</v>
      </c>
      <c r="AF32">
        <f t="shared" si="8"/>
        <v>2</v>
      </c>
    </row>
    <row r="33" spans="1:32" x14ac:dyDescent="0.25">
      <c r="A33" s="20">
        <v>45348</v>
      </c>
      <c r="B33" s="2">
        <v>1019</v>
      </c>
      <c r="C33" s="19" t="s">
        <v>202</v>
      </c>
      <c r="D33" s="19" t="s">
        <v>2</v>
      </c>
      <c r="E33" s="19" t="s">
        <v>2</v>
      </c>
      <c r="F33" s="19" t="s">
        <v>203</v>
      </c>
      <c r="G33" s="19" t="s">
        <v>91</v>
      </c>
      <c r="H33" s="19" t="s">
        <v>204</v>
      </c>
      <c r="I33" s="19" t="s">
        <v>205</v>
      </c>
      <c r="J33" s="2" t="s">
        <v>2</v>
      </c>
      <c r="K33" s="20">
        <v>45348</v>
      </c>
      <c r="L33" s="20">
        <v>45349</v>
      </c>
      <c r="M33" s="22">
        <v>120</v>
      </c>
      <c r="N33" s="21">
        <v>103000</v>
      </c>
      <c r="O33" s="2" t="s">
        <v>76</v>
      </c>
      <c r="P33" s="2" t="s">
        <v>4</v>
      </c>
      <c r="Q33" s="2" t="s">
        <v>5</v>
      </c>
      <c r="R33" s="21">
        <f t="shared" si="0"/>
        <v>103000</v>
      </c>
      <c r="S33" s="21">
        <v>103000</v>
      </c>
      <c r="T33" s="5">
        <f t="shared" si="1"/>
        <v>0</v>
      </c>
      <c r="U33">
        <f t="shared" si="2"/>
        <v>2</v>
      </c>
      <c r="V33">
        <f t="shared" si="3"/>
        <v>2</v>
      </c>
      <c r="W33" s="5">
        <f t="shared" si="4"/>
        <v>0</v>
      </c>
      <c r="X33" s="2" t="s">
        <v>6</v>
      </c>
      <c r="Y33" s="2" t="s">
        <v>2</v>
      </c>
      <c r="Z33">
        <v>689</v>
      </c>
      <c r="AA33" t="s">
        <v>1520</v>
      </c>
      <c r="AC33">
        <f t="shared" si="5"/>
        <v>2024</v>
      </c>
      <c r="AD33">
        <f t="shared" si="6"/>
        <v>2024</v>
      </c>
      <c r="AE33">
        <f t="shared" si="7"/>
        <v>2024</v>
      </c>
      <c r="AF33">
        <f t="shared" si="8"/>
        <v>2</v>
      </c>
    </row>
    <row r="34" spans="1:32" x14ac:dyDescent="0.25">
      <c r="A34" s="20">
        <v>45350.125</v>
      </c>
      <c r="B34" s="2">
        <v>1020</v>
      </c>
      <c r="C34" s="19" t="s">
        <v>206</v>
      </c>
      <c r="D34" s="19" t="s">
        <v>2</v>
      </c>
      <c r="E34" s="19" t="s">
        <v>2</v>
      </c>
      <c r="F34" s="19" t="s">
        <v>207</v>
      </c>
      <c r="G34" s="19" t="s">
        <v>208</v>
      </c>
      <c r="H34" s="19" t="s">
        <v>209</v>
      </c>
      <c r="I34" s="19" t="s">
        <v>210</v>
      </c>
      <c r="J34" s="2" t="s">
        <v>2</v>
      </c>
      <c r="K34" s="20">
        <v>45352.125</v>
      </c>
      <c r="L34" s="20">
        <v>45352.125</v>
      </c>
      <c r="M34" s="22">
        <v>385</v>
      </c>
      <c r="N34" s="21">
        <v>331100</v>
      </c>
      <c r="O34" s="2" t="s">
        <v>76</v>
      </c>
      <c r="P34" s="2" t="s">
        <v>4</v>
      </c>
      <c r="Q34" s="2" t="s">
        <v>5</v>
      </c>
      <c r="R34" s="21">
        <f t="shared" si="0"/>
        <v>331100</v>
      </c>
      <c r="S34" s="21">
        <v>331100</v>
      </c>
      <c r="T34" s="5">
        <f t="shared" si="1"/>
        <v>0</v>
      </c>
      <c r="U34">
        <f t="shared" si="2"/>
        <v>3</v>
      </c>
      <c r="V34">
        <f t="shared" si="3"/>
        <v>2</v>
      </c>
      <c r="W34" s="5">
        <f t="shared" si="4"/>
        <v>0</v>
      </c>
      <c r="X34" s="2" t="s">
        <v>6</v>
      </c>
      <c r="Y34" s="2" t="s">
        <v>2</v>
      </c>
      <c r="Z34">
        <v>691</v>
      </c>
      <c r="AA34" t="s">
        <v>1521</v>
      </c>
      <c r="AC34">
        <f t="shared" si="5"/>
        <v>2024</v>
      </c>
      <c r="AD34">
        <f t="shared" si="6"/>
        <v>2024</v>
      </c>
      <c r="AE34">
        <f t="shared" si="7"/>
        <v>2024</v>
      </c>
      <c r="AF34">
        <f t="shared" si="8"/>
        <v>3</v>
      </c>
    </row>
    <row r="35" spans="1:32" x14ac:dyDescent="0.25">
      <c r="A35" s="20">
        <v>45352.125</v>
      </c>
      <c r="B35" s="2">
        <v>1021</v>
      </c>
      <c r="C35" s="19" t="s">
        <v>1732</v>
      </c>
      <c r="D35" s="19" t="s">
        <v>2</v>
      </c>
      <c r="E35" s="19" t="s">
        <v>2</v>
      </c>
      <c r="F35" s="19" t="s">
        <v>211</v>
      </c>
      <c r="G35" s="19" t="s">
        <v>107</v>
      </c>
      <c r="H35" s="19" t="s">
        <v>212</v>
      </c>
      <c r="I35" s="19" t="s">
        <v>213</v>
      </c>
      <c r="J35" s="2" t="s">
        <v>2</v>
      </c>
      <c r="K35" s="20">
        <v>45352.125</v>
      </c>
      <c r="L35" s="20"/>
      <c r="M35" s="22">
        <v>110</v>
      </c>
      <c r="N35" s="21">
        <v>104000</v>
      </c>
      <c r="O35" s="2" t="s">
        <v>3</v>
      </c>
      <c r="P35" s="2" t="s">
        <v>4</v>
      </c>
      <c r="Q35" s="2" t="s">
        <v>97</v>
      </c>
      <c r="R35" s="21">
        <f t="shared" si="0"/>
        <v>0</v>
      </c>
      <c r="S35" s="21">
        <v>0</v>
      </c>
      <c r="T35" s="5">
        <f t="shared" si="1"/>
        <v>0</v>
      </c>
      <c r="U35">
        <f t="shared" si="2"/>
        <v>3</v>
      </c>
      <c r="V35">
        <f t="shared" si="3"/>
        <v>3</v>
      </c>
      <c r="W35" s="5">
        <f t="shared" si="4"/>
        <v>0</v>
      </c>
      <c r="X35" s="2" t="s">
        <v>6</v>
      </c>
      <c r="Y35" s="2" t="s">
        <v>2</v>
      </c>
      <c r="AC35">
        <f t="shared" si="5"/>
        <v>2024</v>
      </c>
      <c r="AD35">
        <f t="shared" si="6"/>
        <v>2024</v>
      </c>
      <c r="AE35" t="str">
        <f t="shared" si="7"/>
        <v/>
      </c>
      <c r="AF35" t="str">
        <f t="shared" si="8"/>
        <v/>
      </c>
    </row>
    <row r="36" spans="1:32" x14ac:dyDescent="0.25">
      <c r="A36" s="20">
        <v>45357</v>
      </c>
      <c r="B36" s="2">
        <v>1022</v>
      </c>
      <c r="C36" s="19" t="s">
        <v>1732</v>
      </c>
      <c r="D36" s="19" t="s">
        <v>2</v>
      </c>
      <c r="E36" s="19" t="s">
        <v>2</v>
      </c>
      <c r="F36" s="19" t="s">
        <v>214</v>
      </c>
      <c r="G36" s="19" t="s">
        <v>215</v>
      </c>
      <c r="H36" s="19" t="s">
        <v>216</v>
      </c>
      <c r="I36" s="19" t="s">
        <v>217</v>
      </c>
      <c r="J36" s="2" t="s">
        <v>2</v>
      </c>
      <c r="K36" s="20">
        <v>45357</v>
      </c>
      <c r="L36" s="20">
        <v>45357</v>
      </c>
      <c r="M36" s="22">
        <v>52</v>
      </c>
      <c r="N36" s="21">
        <v>45000</v>
      </c>
      <c r="O36" s="2" t="s">
        <v>76</v>
      </c>
      <c r="P36" s="2" t="s">
        <v>4</v>
      </c>
      <c r="Q36" s="2" t="s">
        <v>5</v>
      </c>
      <c r="R36" s="21">
        <f t="shared" si="0"/>
        <v>45000</v>
      </c>
      <c r="S36" s="21">
        <v>45000</v>
      </c>
      <c r="T36" s="5">
        <f t="shared" si="1"/>
        <v>0</v>
      </c>
      <c r="U36">
        <f t="shared" si="2"/>
        <v>3</v>
      </c>
      <c r="V36">
        <f t="shared" si="3"/>
        <v>3</v>
      </c>
      <c r="W36" s="5">
        <f t="shared" si="4"/>
        <v>0</v>
      </c>
      <c r="X36" s="2" t="s">
        <v>6</v>
      </c>
      <c r="Y36" s="2" t="s">
        <v>2</v>
      </c>
      <c r="Z36">
        <v>692</v>
      </c>
      <c r="AC36">
        <f t="shared" si="5"/>
        <v>2024</v>
      </c>
      <c r="AD36">
        <f t="shared" si="6"/>
        <v>2024</v>
      </c>
      <c r="AE36">
        <f t="shared" si="7"/>
        <v>2024</v>
      </c>
      <c r="AF36">
        <f t="shared" si="8"/>
        <v>3</v>
      </c>
    </row>
    <row r="37" spans="1:32" x14ac:dyDescent="0.25">
      <c r="A37" s="20">
        <v>45357</v>
      </c>
      <c r="B37" s="2">
        <v>1023</v>
      </c>
      <c r="C37" s="19" t="s">
        <v>218</v>
      </c>
      <c r="D37" s="19" t="s">
        <v>2</v>
      </c>
      <c r="E37" s="19" t="s">
        <v>2</v>
      </c>
      <c r="F37" s="19" t="s">
        <v>219</v>
      </c>
      <c r="G37" s="19" t="s">
        <v>220</v>
      </c>
      <c r="H37" s="19" t="s">
        <v>221</v>
      </c>
      <c r="I37" s="19" t="s">
        <v>222</v>
      </c>
      <c r="J37" s="2" t="s">
        <v>2</v>
      </c>
      <c r="K37" s="20">
        <v>45357</v>
      </c>
      <c r="L37" s="20">
        <v>45364</v>
      </c>
      <c r="M37" s="22">
        <v>50</v>
      </c>
      <c r="N37" s="21">
        <v>49500</v>
      </c>
      <c r="O37" s="2" t="s">
        <v>76</v>
      </c>
      <c r="P37" s="2" t="s">
        <v>4</v>
      </c>
      <c r="Q37" s="2" t="s">
        <v>5</v>
      </c>
      <c r="R37" s="21">
        <f t="shared" si="0"/>
        <v>49500</v>
      </c>
      <c r="S37" s="21">
        <v>49500</v>
      </c>
      <c r="T37" s="5">
        <f t="shared" si="1"/>
        <v>0</v>
      </c>
      <c r="U37">
        <f t="shared" si="2"/>
        <v>3</v>
      </c>
      <c r="V37">
        <f t="shared" si="3"/>
        <v>3</v>
      </c>
      <c r="W37" s="5">
        <f t="shared" si="4"/>
        <v>0</v>
      </c>
      <c r="X37" s="2" t="s">
        <v>6</v>
      </c>
      <c r="Y37" s="2" t="s">
        <v>2</v>
      </c>
      <c r="Z37">
        <v>693</v>
      </c>
      <c r="AA37" t="s">
        <v>1522</v>
      </c>
      <c r="AC37">
        <f t="shared" si="5"/>
        <v>2024</v>
      </c>
      <c r="AD37">
        <f t="shared" si="6"/>
        <v>2024</v>
      </c>
      <c r="AE37">
        <f t="shared" si="7"/>
        <v>2024</v>
      </c>
      <c r="AF37">
        <f t="shared" si="8"/>
        <v>3</v>
      </c>
    </row>
    <row r="38" spans="1:32" x14ac:dyDescent="0.25">
      <c r="A38" s="20">
        <v>45362.125</v>
      </c>
      <c r="B38" s="2">
        <v>1024</v>
      </c>
      <c r="C38" s="19" t="s">
        <v>223</v>
      </c>
      <c r="D38" s="19" t="s">
        <v>2</v>
      </c>
      <c r="E38" s="19" t="s">
        <v>2</v>
      </c>
      <c r="F38" s="19" t="s">
        <v>224</v>
      </c>
      <c r="G38" s="19" t="s">
        <v>225</v>
      </c>
      <c r="H38" s="19" t="s">
        <v>226</v>
      </c>
      <c r="I38" s="19" t="s">
        <v>227</v>
      </c>
      <c r="J38" s="2" t="s">
        <v>2</v>
      </c>
      <c r="K38" s="20">
        <v>45362.125</v>
      </c>
      <c r="L38" s="20">
        <v>45362.125</v>
      </c>
      <c r="M38" s="22">
        <v>63</v>
      </c>
      <c r="N38" s="21">
        <v>55000</v>
      </c>
      <c r="O38" s="2" t="s">
        <v>76</v>
      </c>
      <c r="P38" s="2" t="s">
        <v>4</v>
      </c>
      <c r="Q38" s="2" t="s">
        <v>5</v>
      </c>
      <c r="R38" s="21">
        <f t="shared" si="0"/>
        <v>55000</v>
      </c>
      <c r="S38" s="21">
        <v>55000</v>
      </c>
      <c r="T38" s="5">
        <f t="shared" si="1"/>
        <v>0</v>
      </c>
      <c r="U38">
        <f t="shared" si="2"/>
        <v>3</v>
      </c>
      <c r="V38">
        <f t="shared" si="3"/>
        <v>3</v>
      </c>
      <c r="W38" s="5">
        <f t="shared" si="4"/>
        <v>0</v>
      </c>
      <c r="X38" s="2" t="s">
        <v>6</v>
      </c>
      <c r="Y38" s="2" t="s">
        <v>2</v>
      </c>
      <c r="AC38">
        <f t="shared" si="5"/>
        <v>2024</v>
      </c>
      <c r="AD38">
        <f t="shared" si="6"/>
        <v>2024</v>
      </c>
      <c r="AE38">
        <f t="shared" si="7"/>
        <v>2024</v>
      </c>
      <c r="AF38">
        <f t="shared" si="8"/>
        <v>3</v>
      </c>
    </row>
    <row r="39" spans="1:32" x14ac:dyDescent="0.25">
      <c r="A39" s="20">
        <v>45363.125</v>
      </c>
      <c r="B39" s="2">
        <v>1025</v>
      </c>
      <c r="C39" s="19" t="s">
        <v>228</v>
      </c>
      <c r="D39" s="19" t="s">
        <v>2</v>
      </c>
      <c r="E39" s="19" t="s">
        <v>2</v>
      </c>
      <c r="F39" s="19" t="s">
        <v>229</v>
      </c>
      <c r="G39" s="19" t="s">
        <v>230</v>
      </c>
      <c r="H39" s="19" t="s">
        <v>231</v>
      </c>
      <c r="I39" s="19" t="s">
        <v>232</v>
      </c>
      <c r="J39" s="2" t="s">
        <v>2</v>
      </c>
      <c r="K39" s="20">
        <v>45363.125</v>
      </c>
      <c r="L39" s="20">
        <v>45366.125</v>
      </c>
      <c r="M39" s="22">
        <v>61</v>
      </c>
      <c r="N39" s="21">
        <v>53000</v>
      </c>
      <c r="O39" s="2" t="s">
        <v>76</v>
      </c>
      <c r="P39" s="2" t="s">
        <v>4</v>
      </c>
      <c r="Q39" s="2" t="s">
        <v>5</v>
      </c>
      <c r="R39" s="21">
        <f t="shared" si="0"/>
        <v>53000</v>
      </c>
      <c r="S39" s="21">
        <v>53000</v>
      </c>
      <c r="T39" s="5">
        <f t="shared" si="1"/>
        <v>0</v>
      </c>
      <c r="U39">
        <f t="shared" si="2"/>
        <v>3</v>
      </c>
      <c r="V39">
        <f t="shared" si="3"/>
        <v>3</v>
      </c>
      <c r="W39" s="5">
        <f t="shared" si="4"/>
        <v>0</v>
      </c>
      <c r="X39" s="2" t="s">
        <v>6</v>
      </c>
      <c r="Y39" s="2" t="s">
        <v>2</v>
      </c>
      <c r="Z39">
        <v>694</v>
      </c>
      <c r="AC39">
        <f t="shared" si="5"/>
        <v>2024</v>
      </c>
      <c r="AD39">
        <f t="shared" si="6"/>
        <v>2024</v>
      </c>
      <c r="AE39">
        <f t="shared" si="7"/>
        <v>2024</v>
      </c>
      <c r="AF39">
        <f t="shared" si="8"/>
        <v>3</v>
      </c>
    </row>
    <row r="40" spans="1:32" x14ac:dyDescent="0.25">
      <c r="A40" s="20">
        <v>45363.125</v>
      </c>
      <c r="B40" s="2">
        <v>1026</v>
      </c>
      <c r="C40" s="19" t="s">
        <v>228</v>
      </c>
      <c r="D40" s="19" t="s">
        <v>2</v>
      </c>
      <c r="E40" s="19" t="s">
        <v>2</v>
      </c>
      <c r="F40" s="19" t="s">
        <v>233</v>
      </c>
      <c r="G40" s="19" t="s">
        <v>195</v>
      </c>
      <c r="H40" s="19" t="s">
        <v>234</v>
      </c>
      <c r="I40" s="19" t="s">
        <v>235</v>
      </c>
      <c r="J40" s="2" t="s">
        <v>2</v>
      </c>
      <c r="K40" s="20">
        <v>45363.125</v>
      </c>
      <c r="L40" s="20">
        <v>45366.125</v>
      </c>
      <c r="M40" s="22">
        <v>127</v>
      </c>
      <c r="N40" s="21">
        <v>110000</v>
      </c>
      <c r="O40" s="2" t="s">
        <v>76</v>
      </c>
      <c r="P40" s="2" t="s">
        <v>4</v>
      </c>
      <c r="Q40" s="2" t="s">
        <v>5</v>
      </c>
      <c r="R40" s="21">
        <f t="shared" si="0"/>
        <v>110000</v>
      </c>
      <c r="S40" s="21">
        <v>110000</v>
      </c>
      <c r="T40" s="5">
        <f t="shared" si="1"/>
        <v>0</v>
      </c>
      <c r="U40">
        <f t="shared" si="2"/>
        <v>3</v>
      </c>
      <c r="V40">
        <f t="shared" si="3"/>
        <v>3</v>
      </c>
      <c r="W40" s="5">
        <f t="shared" si="4"/>
        <v>0</v>
      </c>
      <c r="X40" s="2" t="s">
        <v>6</v>
      </c>
      <c r="Y40" s="2" t="s">
        <v>2</v>
      </c>
      <c r="Z40">
        <v>694</v>
      </c>
      <c r="AC40">
        <f t="shared" si="5"/>
        <v>2024</v>
      </c>
      <c r="AD40">
        <f t="shared" si="6"/>
        <v>2024</v>
      </c>
      <c r="AE40">
        <f t="shared" si="7"/>
        <v>2024</v>
      </c>
      <c r="AF40">
        <f t="shared" si="8"/>
        <v>3</v>
      </c>
    </row>
    <row r="41" spans="1:32" x14ac:dyDescent="0.25">
      <c r="A41" s="20">
        <v>45363</v>
      </c>
      <c r="B41" s="2">
        <v>1027</v>
      </c>
      <c r="C41" s="19" t="s">
        <v>228</v>
      </c>
      <c r="D41" s="19" t="s">
        <v>2</v>
      </c>
      <c r="E41" s="19" t="s">
        <v>2</v>
      </c>
      <c r="F41" s="19" t="s">
        <v>236</v>
      </c>
      <c r="G41" s="19" t="s">
        <v>237</v>
      </c>
      <c r="H41" s="19" t="s">
        <v>238</v>
      </c>
      <c r="I41" s="19" t="s">
        <v>239</v>
      </c>
      <c r="J41" s="2" t="s">
        <v>2</v>
      </c>
      <c r="K41" s="20">
        <v>45369</v>
      </c>
      <c r="L41" s="20">
        <v>45366</v>
      </c>
      <c r="M41" s="22">
        <v>30</v>
      </c>
      <c r="N41" s="21">
        <v>26000</v>
      </c>
      <c r="O41" s="2" t="s">
        <v>76</v>
      </c>
      <c r="P41" s="2" t="s">
        <v>4</v>
      </c>
      <c r="Q41" s="2" t="s">
        <v>5</v>
      </c>
      <c r="R41" s="21">
        <f t="shared" si="0"/>
        <v>26000</v>
      </c>
      <c r="S41" s="21">
        <v>26000</v>
      </c>
      <c r="T41" s="5">
        <f t="shared" si="1"/>
        <v>0</v>
      </c>
      <c r="U41">
        <f t="shared" si="2"/>
        <v>3</v>
      </c>
      <c r="V41">
        <f t="shared" si="3"/>
        <v>3</v>
      </c>
      <c r="W41" s="5">
        <f t="shared" si="4"/>
        <v>0</v>
      </c>
      <c r="X41" s="2" t="s">
        <v>6</v>
      </c>
      <c r="Y41" s="2" t="s">
        <v>2</v>
      </c>
      <c r="Z41">
        <v>694</v>
      </c>
      <c r="AC41">
        <f t="shared" si="5"/>
        <v>2024</v>
      </c>
      <c r="AD41">
        <f t="shared" si="6"/>
        <v>2024</v>
      </c>
      <c r="AE41">
        <f t="shared" si="7"/>
        <v>2024</v>
      </c>
      <c r="AF41">
        <f t="shared" si="8"/>
        <v>3</v>
      </c>
    </row>
    <row r="42" spans="1:32" x14ac:dyDescent="0.25">
      <c r="A42" s="20">
        <v>45364</v>
      </c>
      <c r="B42" s="2">
        <v>1028</v>
      </c>
      <c r="C42" s="19" t="s">
        <v>161</v>
      </c>
      <c r="D42" s="19" t="s">
        <v>2</v>
      </c>
      <c r="E42" s="19" t="s">
        <v>2</v>
      </c>
      <c r="F42" s="19" t="s">
        <v>240</v>
      </c>
      <c r="G42" s="19" t="s">
        <v>241</v>
      </c>
      <c r="H42" s="19" t="s">
        <v>242</v>
      </c>
      <c r="I42" s="19" t="s">
        <v>243</v>
      </c>
      <c r="J42" s="2" t="s">
        <v>2</v>
      </c>
      <c r="K42" s="20">
        <v>45390</v>
      </c>
      <c r="L42" s="20">
        <v>45456</v>
      </c>
      <c r="M42" s="22">
        <v>172</v>
      </c>
      <c r="N42" s="21">
        <v>172000</v>
      </c>
      <c r="O42" s="2" t="s">
        <v>76</v>
      </c>
      <c r="P42" s="2" t="s">
        <v>4</v>
      </c>
      <c r="Q42" s="2" t="s">
        <v>5</v>
      </c>
      <c r="R42" s="21">
        <f t="shared" si="0"/>
        <v>172000</v>
      </c>
      <c r="S42" s="21">
        <v>172000</v>
      </c>
      <c r="T42" s="5">
        <f t="shared" si="1"/>
        <v>0</v>
      </c>
      <c r="U42">
        <f t="shared" si="2"/>
        <v>4</v>
      </c>
      <c r="V42">
        <f t="shared" si="3"/>
        <v>3</v>
      </c>
      <c r="W42" s="5">
        <f t="shared" si="4"/>
        <v>0</v>
      </c>
      <c r="X42" s="2" t="s">
        <v>6</v>
      </c>
      <c r="Y42" s="2" t="s">
        <v>2</v>
      </c>
      <c r="Z42">
        <v>697</v>
      </c>
      <c r="AA42" t="s">
        <v>1523</v>
      </c>
      <c r="AC42">
        <f t="shared" si="5"/>
        <v>2024</v>
      </c>
      <c r="AD42">
        <f t="shared" si="6"/>
        <v>2024</v>
      </c>
      <c r="AE42">
        <f t="shared" si="7"/>
        <v>2024</v>
      </c>
      <c r="AF42">
        <f t="shared" si="8"/>
        <v>6</v>
      </c>
    </row>
    <row r="43" spans="1:32" x14ac:dyDescent="0.25">
      <c r="A43" s="20">
        <v>45366</v>
      </c>
      <c r="B43" s="2">
        <v>1029</v>
      </c>
      <c r="C43" s="19" t="s">
        <v>244</v>
      </c>
      <c r="D43" s="19" t="s">
        <v>2</v>
      </c>
      <c r="E43" s="19" t="s">
        <v>2</v>
      </c>
      <c r="F43" s="19" t="s">
        <v>245</v>
      </c>
      <c r="G43" s="19" t="s">
        <v>107</v>
      </c>
      <c r="H43" s="19" t="s">
        <v>246</v>
      </c>
      <c r="I43" s="19" t="s">
        <v>247</v>
      </c>
      <c r="J43" s="2" t="s">
        <v>2</v>
      </c>
      <c r="K43" s="20">
        <v>45366</v>
      </c>
      <c r="L43" s="20">
        <v>45366</v>
      </c>
      <c r="M43" s="22">
        <v>226</v>
      </c>
      <c r="N43" s="21">
        <v>195500</v>
      </c>
      <c r="O43" s="2" t="s">
        <v>3</v>
      </c>
      <c r="P43" s="2" t="s">
        <v>4</v>
      </c>
      <c r="Q43" s="2" t="s">
        <v>5</v>
      </c>
      <c r="R43" s="21">
        <f t="shared" si="0"/>
        <v>195500</v>
      </c>
      <c r="S43" s="21">
        <v>195500</v>
      </c>
      <c r="T43" s="5">
        <f t="shared" si="1"/>
        <v>0</v>
      </c>
      <c r="U43">
        <f t="shared" si="2"/>
        <v>3</v>
      </c>
      <c r="V43">
        <f t="shared" si="3"/>
        <v>3</v>
      </c>
      <c r="W43" s="5">
        <f t="shared" si="4"/>
        <v>0</v>
      </c>
      <c r="X43" s="2" t="s">
        <v>6</v>
      </c>
      <c r="Y43" s="2" t="s">
        <v>2</v>
      </c>
      <c r="Z43">
        <v>695</v>
      </c>
      <c r="AC43">
        <f t="shared" si="5"/>
        <v>2024</v>
      </c>
      <c r="AD43">
        <f t="shared" si="6"/>
        <v>2024</v>
      </c>
      <c r="AE43">
        <f t="shared" si="7"/>
        <v>2024</v>
      </c>
      <c r="AF43">
        <f t="shared" si="8"/>
        <v>3</v>
      </c>
    </row>
    <row r="44" spans="1:32" x14ac:dyDescent="0.25">
      <c r="A44" s="20">
        <v>45366</v>
      </c>
      <c r="B44" s="2">
        <v>1030</v>
      </c>
      <c r="C44" s="19" t="s">
        <v>0</v>
      </c>
      <c r="D44" s="19" t="s">
        <v>111</v>
      </c>
      <c r="E44" s="19" t="s">
        <v>2</v>
      </c>
      <c r="F44" s="19" t="s">
        <v>248</v>
      </c>
      <c r="G44" s="19" t="s">
        <v>249</v>
      </c>
      <c r="H44" s="19" t="s">
        <v>250</v>
      </c>
      <c r="I44" s="19" t="s">
        <v>251</v>
      </c>
      <c r="J44" s="2" t="s">
        <v>2</v>
      </c>
      <c r="K44" s="20">
        <v>45368</v>
      </c>
      <c r="L44" s="20">
        <v>45368</v>
      </c>
      <c r="M44" s="22">
        <v>0</v>
      </c>
      <c r="N44" s="21">
        <v>28635</v>
      </c>
      <c r="O44" s="2" t="s">
        <v>76</v>
      </c>
      <c r="P44" s="2" t="s">
        <v>4</v>
      </c>
      <c r="Q44" s="2" t="s">
        <v>5</v>
      </c>
      <c r="R44" s="21">
        <f t="shared" si="0"/>
        <v>28635</v>
      </c>
      <c r="S44" s="21">
        <v>28635</v>
      </c>
      <c r="T44" s="5">
        <f t="shared" si="1"/>
        <v>0</v>
      </c>
      <c r="U44">
        <f t="shared" si="2"/>
        <v>3</v>
      </c>
      <c r="V44">
        <f t="shared" si="3"/>
        <v>3</v>
      </c>
      <c r="W44" s="5">
        <f t="shared" si="4"/>
        <v>0</v>
      </c>
      <c r="X44" s="2" t="s">
        <v>6</v>
      </c>
      <c r="Y44" s="2" t="s">
        <v>2</v>
      </c>
      <c r="AC44">
        <f t="shared" si="5"/>
        <v>2024</v>
      </c>
      <c r="AD44">
        <f t="shared" si="6"/>
        <v>2024</v>
      </c>
      <c r="AE44">
        <f t="shared" si="7"/>
        <v>2024</v>
      </c>
      <c r="AF44">
        <f t="shared" si="8"/>
        <v>3</v>
      </c>
    </row>
    <row r="45" spans="1:32" x14ac:dyDescent="0.25">
      <c r="A45" s="20">
        <v>45377</v>
      </c>
      <c r="B45" s="2">
        <v>1031</v>
      </c>
      <c r="C45" s="19" t="s">
        <v>1732</v>
      </c>
      <c r="D45" s="19" t="s">
        <v>2</v>
      </c>
      <c r="E45" s="19" t="s">
        <v>2</v>
      </c>
      <c r="F45" s="19" t="s">
        <v>252</v>
      </c>
      <c r="G45" s="19" t="s">
        <v>237</v>
      </c>
      <c r="H45" s="19" t="s">
        <v>253</v>
      </c>
      <c r="I45" s="19" t="s">
        <v>254</v>
      </c>
      <c r="J45" s="2" t="s">
        <v>2</v>
      </c>
      <c r="K45" s="20">
        <v>45380</v>
      </c>
      <c r="L45" s="20">
        <v>45381</v>
      </c>
      <c r="M45" s="22">
        <v>0</v>
      </c>
      <c r="N45" s="21">
        <v>195500</v>
      </c>
      <c r="O45" s="2" t="s">
        <v>3</v>
      </c>
      <c r="P45" s="2" t="s">
        <v>145</v>
      </c>
      <c r="Q45" s="2" t="s">
        <v>146</v>
      </c>
      <c r="R45" s="21">
        <f t="shared" si="0"/>
        <v>0</v>
      </c>
      <c r="S45" s="21">
        <v>0</v>
      </c>
      <c r="T45" s="5">
        <f t="shared" si="1"/>
        <v>0</v>
      </c>
      <c r="U45">
        <f t="shared" si="2"/>
        <v>3</v>
      </c>
      <c r="V45">
        <f t="shared" si="3"/>
        <v>3</v>
      </c>
      <c r="W45" s="5">
        <f t="shared" si="4"/>
        <v>0</v>
      </c>
      <c r="X45" s="2" t="s">
        <v>6</v>
      </c>
      <c r="Y45" s="2" t="s">
        <v>2</v>
      </c>
      <c r="AC45">
        <f t="shared" si="5"/>
        <v>2024</v>
      </c>
      <c r="AD45">
        <f t="shared" si="6"/>
        <v>2024</v>
      </c>
      <c r="AE45">
        <f t="shared" si="7"/>
        <v>2024</v>
      </c>
      <c r="AF45">
        <f t="shared" si="8"/>
        <v>3</v>
      </c>
    </row>
    <row r="46" spans="1:32" x14ac:dyDescent="0.25">
      <c r="A46" s="20">
        <v>45378</v>
      </c>
      <c r="B46" s="2">
        <v>1032</v>
      </c>
      <c r="C46" s="19" t="s">
        <v>202</v>
      </c>
      <c r="D46" s="19" t="s">
        <v>2</v>
      </c>
      <c r="E46" s="19" t="s">
        <v>2</v>
      </c>
      <c r="F46" s="19" t="s">
        <v>203</v>
      </c>
      <c r="G46" s="19" t="s">
        <v>91</v>
      </c>
      <c r="H46" s="19" t="s">
        <v>204</v>
      </c>
      <c r="I46" s="19" t="s">
        <v>205</v>
      </c>
      <c r="J46" s="2" t="s">
        <v>2</v>
      </c>
      <c r="K46" s="20">
        <v>45378</v>
      </c>
      <c r="L46" s="20">
        <v>45379</v>
      </c>
      <c r="M46" s="22">
        <v>131</v>
      </c>
      <c r="N46" s="21">
        <v>115000</v>
      </c>
      <c r="O46" s="2" t="s">
        <v>76</v>
      </c>
      <c r="P46" s="2" t="s">
        <v>4</v>
      </c>
      <c r="Q46" s="2" t="s">
        <v>5</v>
      </c>
      <c r="R46" s="21">
        <f t="shared" si="0"/>
        <v>115000</v>
      </c>
      <c r="S46" s="21">
        <v>115000</v>
      </c>
      <c r="T46" s="5">
        <f t="shared" si="1"/>
        <v>0</v>
      </c>
      <c r="U46">
        <f t="shared" si="2"/>
        <v>3</v>
      </c>
      <c r="V46">
        <f t="shared" si="3"/>
        <v>3</v>
      </c>
      <c r="W46" s="5">
        <f t="shared" si="4"/>
        <v>0</v>
      </c>
      <c r="X46" s="2" t="s">
        <v>6</v>
      </c>
      <c r="Y46" s="2" t="s">
        <v>2</v>
      </c>
      <c r="Z46">
        <v>696</v>
      </c>
      <c r="AC46">
        <f t="shared" si="5"/>
        <v>2024</v>
      </c>
      <c r="AD46">
        <f t="shared" si="6"/>
        <v>2024</v>
      </c>
      <c r="AE46">
        <f t="shared" si="7"/>
        <v>2024</v>
      </c>
      <c r="AF46">
        <f t="shared" si="8"/>
        <v>3</v>
      </c>
    </row>
    <row r="47" spans="1:32" x14ac:dyDescent="0.25">
      <c r="A47" s="20">
        <v>45378</v>
      </c>
      <c r="B47" s="2">
        <v>1033</v>
      </c>
      <c r="C47" s="19" t="s">
        <v>255</v>
      </c>
      <c r="D47" s="19" t="s">
        <v>2</v>
      </c>
      <c r="E47" s="19" t="s">
        <v>2</v>
      </c>
      <c r="F47" s="19" t="s">
        <v>256</v>
      </c>
      <c r="G47" s="19" t="s">
        <v>107</v>
      </c>
      <c r="H47" s="19" t="s">
        <v>257</v>
      </c>
      <c r="I47" s="19" t="s">
        <v>258</v>
      </c>
      <c r="J47" s="2" t="s">
        <v>2</v>
      </c>
      <c r="K47" s="20">
        <v>45378</v>
      </c>
      <c r="L47" s="20">
        <v>45379</v>
      </c>
      <c r="M47" s="22">
        <v>90</v>
      </c>
      <c r="N47" s="21">
        <v>79500</v>
      </c>
      <c r="O47" s="2" t="s">
        <v>76</v>
      </c>
      <c r="P47" s="2" t="s">
        <v>4</v>
      </c>
      <c r="Q47" s="2" t="s">
        <v>5</v>
      </c>
      <c r="R47" s="21">
        <f t="shared" si="0"/>
        <v>79500</v>
      </c>
      <c r="S47" s="21">
        <v>79500</v>
      </c>
      <c r="T47" s="5">
        <f t="shared" si="1"/>
        <v>0</v>
      </c>
      <c r="U47">
        <f t="shared" si="2"/>
        <v>3</v>
      </c>
      <c r="V47">
        <f t="shared" si="3"/>
        <v>3</v>
      </c>
      <c r="W47" s="5">
        <f t="shared" si="4"/>
        <v>0</v>
      </c>
      <c r="X47" s="2" t="s">
        <v>6</v>
      </c>
      <c r="Y47" s="2" t="s">
        <v>2</v>
      </c>
      <c r="AC47">
        <f t="shared" si="5"/>
        <v>2024</v>
      </c>
      <c r="AD47">
        <f t="shared" si="6"/>
        <v>2024</v>
      </c>
      <c r="AE47">
        <f t="shared" si="7"/>
        <v>2024</v>
      </c>
      <c r="AF47">
        <f t="shared" si="8"/>
        <v>3</v>
      </c>
    </row>
    <row r="48" spans="1:32" x14ac:dyDescent="0.25">
      <c r="A48" s="20">
        <v>45379</v>
      </c>
      <c r="B48" s="2">
        <v>1034</v>
      </c>
      <c r="C48" s="19" t="s">
        <v>218</v>
      </c>
      <c r="D48" s="19" t="s">
        <v>2</v>
      </c>
      <c r="E48" s="19" t="s">
        <v>2</v>
      </c>
      <c r="F48" s="19" t="s">
        <v>259</v>
      </c>
      <c r="G48" s="19" t="s">
        <v>260</v>
      </c>
      <c r="H48" s="19" t="s">
        <v>261</v>
      </c>
      <c r="I48" s="19" t="s">
        <v>262</v>
      </c>
      <c r="J48" s="2" t="s">
        <v>2</v>
      </c>
      <c r="K48" s="20">
        <v>45379</v>
      </c>
      <c r="L48" s="20">
        <v>45380</v>
      </c>
      <c r="M48" s="22">
        <v>250</v>
      </c>
      <c r="N48" s="21">
        <v>219000</v>
      </c>
      <c r="O48" s="2" t="s">
        <v>76</v>
      </c>
      <c r="P48" s="2" t="s">
        <v>4</v>
      </c>
      <c r="Q48" s="2" t="s">
        <v>5</v>
      </c>
      <c r="R48" s="21">
        <f t="shared" si="0"/>
        <v>219000</v>
      </c>
      <c r="S48" s="21">
        <v>219000</v>
      </c>
      <c r="T48" s="5">
        <f t="shared" si="1"/>
        <v>0</v>
      </c>
      <c r="U48">
        <f t="shared" si="2"/>
        <v>3</v>
      </c>
      <c r="V48">
        <f t="shared" si="3"/>
        <v>3</v>
      </c>
      <c r="W48" s="5">
        <f t="shared" si="4"/>
        <v>0</v>
      </c>
      <c r="X48" s="2" t="s">
        <v>6</v>
      </c>
      <c r="Y48" s="2" t="s">
        <v>2</v>
      </c>
      <c r="Z48">
        <v>699</v>
      </c>
      <c r="AA48" t="s">
        <v>1524</v>
      </c>
      <c r="AC48">
        <f t="shared" si="5"/>
        <v>2024</v>
      </c>
      <c r="AD48">
        <f t="shared" si="6"/>
        <v>2024</v>
      </c>
      <c r="AE48">
        <f t="shared" si="7"/>
        <v>2024</v>
      </c>
      <c r="AF48">
        <f t="shared" si="8"/>
        <v>3</v>
      </c>
    </row>
    <row r="49" spans="1:32" x14ac:dyDescent="0.25">
      <c r="A49" s="20">
        <v>45379</v>
      </c>
      <c r="B49" s="2">
        <v>1035</v>
      </c>
      <c r="C49" s="19" t="s">
        <v>263</v>
      </c>
      <c r="D49" s="19" t="s">
        <v>2</v>
      </c>
      <c r="E49" s="19" t="s">
        <v>2</v>
      </c>
      <c r="F49" s="19" t="s">
        <v>264</v>
      </c>
      <c r="G49" s="19" t="s">
        <v>107</v>
      </c>
      <c r="H49" s="19" t="s">
        <v>265</v>
      </c>
      <c r="I49" s="19" t="s">
        <v>266</v>
      </c>
      <c r="J49" s="2" t="s">
        <v>2</v>
      </c>
      <c r="K49" s="20">
        <v>45379</v>
      </c>
      <c r="L49" s="20">
        <v>45385</v>
      </c>
      <c r="M49" s="22">
        <v>450</v>
      </c>
      <c r="N49" s="21">
        <v>394200</v>
      </c>
      <c r="O49" s="2" t="s">
        <v>76</v>
      </c>
      <c r="P49" s="2" t="s">
        <v>4</v>
      </c>
      <c r="Q49" s="2" t="s">
        <v>5</v>
      </c>
      <c r="R49" s="21">
        <f t="shared" si="0"/>
        <v>394200</v>
      </c>
      <c r="S49" s="21">
        <v>394200</v>
      </c>
      <c r="T49" s="5">
        <f t="shared" si="1"/>
        <v>0</v>
      </c>
      <c r="U49">
        <f t="shared" si="2"/>
        <v>3</v>
      </c>
      <c r="V49">
        <f t="shared" si="3"/>
        <v>3</v>
      </c>
      <c r="W49" s="5">
        <f t="shared" si="4"/>
        <v>0</v>
      </c>
      <c r="X49" s="2" t="s">
        <v>6</v>
      </c>
      <c r="Y49" s="2" t="s">
        <v>2</v>
      </c>
      <c r="Z49">
        <v>698</v>
      </c>
      <c r="AC49">
        <f t="shared" si="5"/>
        <v>2024</v>
      </c>
      <c r="AD49">
        <f t="shared" si="6"/>
        <v>2024</v>
      </c>
      <c r="AE49">
        <f t="shared" si="7"/>
        <v>2024</v>
      </c>
      <c r="AF49">
        <f t="shared" si="8"/>
        <v>4</v>
      </c>
    </row>
    <row r="50" spans="1:32" x14ac:dyDescent="0.25">
      <c r="A50" s="20">
        <v>45392</v>
      </c>
      <c r="B50" s="2">
        <v>1036</v>
      </c>
      <c r="C50" s="19" t="s">
        <v>103</v>
      </c>
      <c r="D50" s="19" t="s">
        <v>2</v>
      </c>
      <c r="E50" s="19" t="s">
        <v>2</v>
      </c>
      <c r="F50" s="19" t="s">
        <v>86</v>
      </c>
      <c r="G50" s="19" t="s">
        <v>195</v>
      </c>
      <c r="H50" s="19" t="s">
        <v>267</v>
      </c>
      <c r="I50" s="19" t="s">
        <v>268</v>
      </c>
      <c r="J50" s="2" t="s">
        <v>2</v>
      </c>
      <c r="K50" s="20">
        <v>45392</v>
      </c>
      <c r="L50" s="20">
        <v>45393</v>
      </c>
      <c r="M50" s="22">
        <v>152</v>
      </c>
      <c r="N50" s="21">
        <v>135000</v>
      </c>
      <c r="O50" s="2" t="s">
        <v>76</v>
      </c>
      <c r="P50" s="2" t="s">
        <v>4</v>
      </c>
      <c r="Q50" s="2" t="s">
        <v>5</v>
      </c>
      <c r="R50" s="21">
        <f t="shared" si="0"/>
        <v>135000</v>
      </c>
      <c r="S50" s="21">
        <v>135000</v>
      </c>
      <c r="T50" s="5">
        <f t="shared" si="1"/>
        <v>0</v>
      </c>
      <c r="U50">
        <f t="shared" si="2"/>
        <v>4</v>
      </c>
      <c r="V50">
        <f t="shared" si="3"/>
        <v>4</v>
      </c>
      <c r="W50" s="5">
        <f t="shared" si="4"/>
        <v>0</v>
      </c>
      <c r="X50" s="2" t="s">
        <v>6</v>
      </c>
      <c r="Y50" s="2" t="s">
        <v>2</v>
      </c>
      <c r="Z50">
        <v>700</v>
      </c>
      <c r="AC50">
        <f t="shared" si="5"/>
        <v>2024</v>
      </c>
      <c r="AD50">
        <f t="shared" si="6"/>
        <v>2024</v>
      </c>
      <c r="AE50">
        <f t="shared" si="7"/>
        <v>2024</v>
      </c>
      <c r="AF50">
        <f t="shared" si="8"/>
        <v>4</v>
      </c>
    </row>
    <row r="51" spans="1:32" x14ac:dyDescent="0.25">
      <c r="A51" s="20">
        <v>45392</v>
      </c>
      <c r="B51" s="2">
        <v>1037</v>
      </c>
      <c r="C51" s="19" t="s">
        <v>269</v>
      </c>
      <c r="D51" s="19" t="s">
        <v>2</v>
      </c>
      <c r="E51" s="19" t="s">
        <v>2</v>
      </c>
      <c r="F51" s="19" t="s">
        <v>86</v>
      </c>
      <c r="G51" s="19" t="s">
        <v>94</v>
      </c>
      <c r="H51" s="19" t="s">
        <v>270</v>
      </c>
      <c r="I51" s="19" t="s">
        <v>271</v>
      </c>
      <c r="J51" s="2" t="s">
        <v>2</v>
      </c>
      <c r="K51" s="20">
        <v>45393</v>
      </c>
      <c r="L51" s="20">
        <v>45393</v>
      </c>
      <c r="M51" s="22">
        <v>122</v>
      </c>
      <c r="N51" s="21">
        <v>108000</v>
      </c>
      <c r="O51" s="2" t="s">
        <v>76</v>
      </c>
      <c r="P51" s="2" t="s">
        <v>4</v>
      </c>
      <c r="Q51" s="2" t="s">
        <v>5</v>
      </c>
      <c r="R51" s="21">
        <f t="shared" si="0"/>
        <v>108000</v>
      </c>
      <c r="S51" s="21">
        <v>108000</v>
      </c>
      <c r="T51" s="5">
        <f t="shared" si="1"/>
        <v>0</v>
      </c>
      <c r="U51">
        <f t="shared" si="2"/>
        <v>4</v>
      </c>
      <c r="V51">
        <f t="shared" si="3"/>
        <v>4</v>
      </c>
      <c r="W51" s="5">
        <f t="shared" si="4"/>
        <v>0</v>
      </c>
      <c r="X51" s="2" t="s">
        <v>6</v>
      </c>
      <c r="Y51" s="2" t="s">
        <v>2</v>
      </c>
      <c r="Z51">
        <v>702</v>
      </c>
      <c r="AC51">
        <f t="shared" si="5"/>
        <v>2024</v>
      </c>
      <c r="AD51">
        <f t="shared" si="6"/>
        <v>2024</v>
      </c>
      <c r="AE51">
        <f t="shared" si="7"/>
        <v>2024</v>
      </c>
      <c r="AF51">
        <f t="shared" si="8"/>
        <v>4</v>
      </c>
    </row>
    <row r="52" spans="1:32" x14ac:dyDescent="0.25">
      <c r="A52" s="20">
        <v>45393</v>
      </c>
      <c r="B52" s="2">
        <v>1038</v>
      </c>
      <c r="C52" s="19" t="s">
        <v>269</v>
      </c>
      <c r="D52" s="19" t="s">
        <v>2</v>
      </c>
      <c r="E52" s="19" t="s">
        <v>2</v>
      </c>
      <c r="F52" s="19" t="s">
        <v>272</v>
      </c>
      <c r="G52" s="19" t="s">
        <v>195</v>
      </c>
      <c r="H52" s="19" t="s">
        <v>273</v>
      </c>
      <c r="I52" s="19" t="s">
        <v>274</v>
      </c>
      <c r="J52" s="2" t="s">
        <v>2</v>
      </c>
      <c r="K52" s="20">
        <v>45393</v>
      </c>
      <c r="L52" s="20">
        <v>45393</v>
      </c>
      <c r="M52" s="22">
        <v>147</v>
      </c>
      <c r="N52" s="21">
        <v>130000</v>
      </c>
      <c r="O52" s="2" t="s">
        <v>76</v>
      </c>
      <c r="P52" s="2" t="s">
        <v>4</v>
      </c>
      <c r="Q52" s="2" t="s">
        <v>5</v>
      </c>
      <c r="R52" s="21">
        <f t="shared" si="0"/>
        <v>130000</v>
      </c>
      <c r="S52" s="21">
        <v>130000</v>
      </c>
      <c r="T52" s="5">
        <f t="shared" si="1"/>
        <v>0</v>
      </c>
      <c r="U52">
        <f t="shared" si="2"/>
        <v>4</v>
      </c>
      <c r="V52">
        <f t="shared" si="3"/>
        <v>4</v>
      </c>
      <c r="W52" s="5">
        <f t="shared" si="4"/>
        <v>0</v>
      </c>
      <c r="X52" s="2" t="s">
        <v>6</v>
      </c>
      <c r="Y52" s="2" t="s">
        <v>2</v>
      </c>
      <c r="Z52">
        <v>701</v>
      </c>
      <c r="AC52">
        <f t="shared" si="5"/>
        <v>2024</v>
      </c>
      <c r="AD52">
        <f t="shared" si="6"/>
        <v>2024</v>
      </c>
      <c r="AE52">
        <f t="shared" si="7"/>
        <v>2024</v>
      </c>
      <c r="AF52">
        <f t="shared" si="8"/>
        <v>4</v>
      </c>
    </row>
    <row r="53" spans="1:32" x14ac:dyDescent="0.25">
      <c r="A53" s="20">
        <v>45399</v>
      </c>
      <c r="B53" s="2">
        <v>1039</v>
      </c>
      <c r="C53" s="19" t="s">
        <v>275</v>
      </c>
      <c r="D53" s="19" t="s">
        <v>2</v>
      </c>
      <c r="E53" s="19" t="s">
        <v>2</v>
      </c>
      <c r="F53" s="19" t="s">
        <v>86</v>
      </c>
      <c r="G53" s="19" t="s">
        <v>195</v>
      </c>
      <c r="H53" s="19" t="s">
        <v>276</v>
      </c>
      <c r="I53" s="19" t="s">
        <v>277</v>
      </c>
      <c r="J53" s="2" t="s">
        <v>2</v>
      </c>
      <c r="K53" s="20">
        <v>45400</v>
      </c>
      <c r="L53" s="20">
        <v>45404</v>
      </c>
      <c r="M53" s="22">
        <v>168</v>
      </c>
      <c r="N53" s="21">
        <v>149000</v>
      </c>
      <c r="O53" s="2" t="s">
        <v>76</v>
      </c>
      <c r="P53" s="2" t="s">
        <v>4</v>
      </c>
      <c r="Q53" s="2" t="s">
        <v>5</v>
      </c>
      <c r="R53" s="21">
        <f t="shared" si="0"/>
        <v>149000</v>
      </c>
      <c r="S53" s="21">
        <v>149000</v>
      </c>
      <c r="T53" s="5">
        <f t="shared" si="1"/>
        <v>0</v>
      </c>
      <c r="U53">
        <f t="shared" si="2"/>
        <v>4</v>
      </c>
      <c r="V53">
        <f t="shared" si="3"/>
        <v>4</v>
      </c>
      <c r="W53" s="5">
        <f t="shared" si="4"/>
        <v>0</v>
      </c>
      <c r="X53" s="2" t="s">
        <v>6</v>
      </c>
      <c r="Y53" s="2" t="s">
        <v>2</v>
      </c>
      <c r="Z53">
        <v>704</v>
      </c>
      <c r="AA53" t="s">
        <v>1525</v>
      </c>
      <c r="AC53">
        <f t="shared" si="5"/>
        <v>2024</v>
      </c>
      <c r="AD53">
        <f t="shared" si="6"/>
        <v>2024</v>
      </c>
      <c r="AE53">
        <f t="shared" si="7"/>
        <v>2024</v>
      </c>
      <c r="AF53">
        <f t="shared" si="8"/>
        <v>4</v>
      </c>
    </row>
    <row r="54" spans="1:32" x14ac:dyDescent="0.25">
      <c r="A54" s="20">
        <v>45399</v>
      </c>
      <c r="B54" s="2">
        <v>1040</v>
      </c>
      <c r="C54" s="19" t="s">
        <v>269</v>
      </c>
      <c r="D54" s="19" t="s">
        <v>2</v>
      </c>
      <c r="E54" s="19" t="s">
        <v>2</v>
      </c>
      <c r="F54" s="19" t="s">
        <v>86</v>
      </c>
      <c r="G54" s="19" t="s">
        <v>94</v>
      </c>
      <c r="H54" s="19" t="s">
        <v>270</v>
      </c>
      <c r="I54" s="19" t="s">
        <v>278</v>
      </c>
      <c r="J54" s="2" t="s">
        <v>2</v>
      </c>
      <c r="K54" s="20">
        <v>45399</v>
      </c>
      <c r="L54" s="20">
        <v>45428</v>
      </c>
      <c r="M54" s="22">
        <v>140</v>
      </c>
      <c r="N54" s="21">
        <v>112500</v>
      </c>
      <c r="O54" s="2" t="s">
        <v>76</v>
      </c>
      <c r="P54" s="2" t="s">
        <v>4</v>
      </c>
      <c r="Q54" s="2" t="s">
        <v>5</v>
      </c>
      <c r="R54" s="21">
        <f t="shared" si="0"/>
        <v>112500</v>
      </c>
      <c r="S54" s="21">
        <v>112500</v>
      </c>
      <c r="T54" s="5">
        <f t="shared" si="1"/>
        <v>0</v>
      </c>
      <c r="U54">
        <f t="shared" si="2"/>
        <v>4</v>
      </c>
      <c r="V54">
        <f t="shared" si="3"/>
        <v>4</v>
      </c>
      <c r="W54" s="5">
        <f t="shared" si="4"/>
        <v>0</v>
      </c>
      <c r="X54" s="2" t="s">
        <v>6</v>
      </c>
      <c r="Y54" s="2" t="s">
        <v>2</v>
      </c>
      <c r="Z54">
        <v>714</v>
      </c>
      <c r="AC54">
        <f t="shared" si="5"/>
        <v>2024</v>
      </c>
      <c r="AD54">
        <f t="shared" si="6"/>
        <v>2024</v>
      </c>
      <c r="AE54">
        <f t="shared" si="7"/>
        <v>2024</v>
      </c>
      <c r="AF54">
        <f t="shared" si="8"/>
        <v>5</v>
      </c>
    </row>
    <row r="55" spans="1:32" x14ac:dyDescent="0.25">
      <c r="A55" s="20">
        <v>45404</v>
      </c>
      <c r="B55" s="2">
        <v>1041</v>
      </c>
      <c r="C55" s="19" t="s">
        <v>279</v>
      </c>
      <c r="D55" s="19" t="s">
        <v>2</v>
      </c>
      <c r="E55" s="19" t="s">
        <v>2</v>
      </c>
      <c r="F55" s="19" t="s">
        <v>86</v>
      </c>
      <c r="G55" s="19" t="s">
        <v>280</v>
      </c>
      <c r="H55" s="19" t="s">
        <v>281</v>
      </c>
      <c r="I55" s="19" t="s">
        <v>282</v>
      </c>
      <c r="J55" s="2" t="s">
        <v>2</v>
      </c>
      <c r="K55" s="20">
        <v>45404</v>
      </c>
      <c r="L55" s="20">
        <v>45404</v>
      </c>
      <c r="M55" s="22">
        <v>179</v>
      </c>
      <c r="N55" s="21">
        <v>160000</v>
      </c>
      <c r="O55" s="2" t="s">
        <v>76</v>
      </c>
      <c r="P55" s="2" t="s">
        <v>4</v>
      </c>
      <c r="Q55" s="2" t="s">
        <v>5</v>
      </c>
      <c r="R55" s="21">
        <f t="shared" si="0"/>
        <v>160000</v>
      </c>
      <c r="S55" s="21">
        <v>160000</v>
      </c>
      <c r="T55" s="5">
        <f t="shared" si="1"/>
        <v>0</v>
      </c>
      <c r="U55">
        <f t="shared" si="2"/>
        <v>4</v>
      </c>
      <c r="V55">
        <f t="shared" si="3"/>
        <v>4</v>
      </c>
      <c r="W55" s="5">
        <f t="shared" si="4"/>
        <v>0</v>
      </c>
      <c r="X55" s="2" t="s">
        <v>6</v>
      </c>
      <c r="Y55" s="2" t="s">
        <v>2</v>
      </c>
      <c r="Z55">
        <v>703</v>
      </c>
      <c r="AC55">
        <f t="shared" si="5"/>
        <v>2024</v>
      </c>
      <c r="AD55">
        <f t="shared" si="6"/>
        <v>2024</v>
      </c>
      <c r="AE55">
        <f t="shared" si="7"/>
        <v>2024</v>
      </c>
      <c r="AF55">
        <f t="shared" si="8"/>
        <v>4</v>
      </c>
    </row>
    <row r="56" spans="1:32" x14ac:dyDescent="0.25">
      <c r="A56" s="20">
        <v>45405</v>
      </c>
      <c r="B56" s="2">
        <v>1042</v>
      </c>
      <c r="C56" s="19" t="s">
        <v>161</v>
      </c>
      <c r="D56" s="19" t="s">
        <v>2</v>
      </c>
      <c r="E56" s="19" t="s">
        <v>2</v>
      </c>
      <c r="F56" s="19" t="s">
        <v>283</v>
      </c>
      <c r="G56" s="19" t="s">
        <v>284</v>
      </c>
      <c r="H56" s="19" t="s">
        <v>285</v>
      </c>
      <c r="I56" s="19" t="s">
        <v>286</v>
      </c>
      <c r="J56" s="2" t="s">
        <v>2</v>
      </c>
      <c r="K56" s="20">
        <v>45405</v>
      </c>
      <c r="L56" s="20">
        <v>45405</v>
      </c>
      <c r="M56" s="22">
        <v>27</v>
      </c>
      <c r="N56" s="21">
        <v>25000</v>
      </c>
      <c r="O56" s="2" t="s">
        <v>76</v>
      </c>
      <c r="P56" s="2" t="s">
        <v>4</v>
      </c>
      <c r="Q56" s="2" t="s">
        <v>5</v>
      </c>
      <c r="R56" s="21">
        <f t="shared" si="0"/>
        <v>25000</v>
      </c>
      <c r="S56" s="21">
        <v>25000</v>
      </c>
      <c r="T56" s="5">
        <f t="shared" si="1"/>
        <v>0</v>
      </c>
      <c r="U56">
        <f t="shared" si="2"/>
        <v>4</v>
      </c>
      <c r="V56">
        <f t="shared" si="3"/>
        <v>4</v>
      </c>
      <c r="W56" s="5">
        <f t="shared" si="4"/>
        <v>0</v>
      </c>
      <c r="X56" s="2" t="s">
        <v>6</v>
      </c>
      <c r="Y56" s="2" t="s">
        <v>2</v>
      </c>
      <c r="Z56">
        <v>705</v>
      </c>
      <c r="AC56">
        <f t="shared" si="5"/>
        <v>2024</v>
      </c>
      <c r="AD56">
        <f t="shared" si="6"/>
        <v>2024</v>
      </c>
      <c r="AE56">
        <f t="shared" si="7"/>
        <v>2024</v>
      </c>
      <c r="AF56">
        <f t="shared" si="8"/>
        <v>4</v>
      </c>
    </row>
    <row r="57" spans="1:32" x14ac:dyDescent="0.25">
      <c r="A57" s="20">
        <v>45406</v>
      </c>
      <c r="B57" s="2">
        <v>1043</v>
      </c>
      <c r="C57" s="19" t="s">
        <v>279</v>
      </c>
      <c r="D57" s="19" t="s">
        <v>2</v>
      </c>
      <c r="E57" s="19" t="s">
        <v>2</v>
      </c>
      <c r="F57" s="19" t="s">
        <v>86</v>
      </c>
      <c r="G57" s="19" t="s">
        <v>280</v>
      </c>
      <c r="H57" s="19" t="s">
        <v>287</v>
      </c>
      <c r="I57" s="19" t="s">
        <v>288</v>
      </c>
      <c r="J57" s="2" t="s">
        <v>2</v>
      </c>
      <c r="K57" s="20">
        <v>45406</v>
      </c>
      <c r="L57" s="20">
        <v>45406</v>
      </c>
      <c r="M57" s="22">
        <v>180</v>
      </c>
      <c r="N57" s="21">
        <v>160000</v>
      </c>
      <c r="O57" s="2" t="s">
        <v>76</v>
      </c>
      <c r="P57" s="2" t="s">
        <v>4</v>
      </c>
      <c r="Q57" s="2" t="s">
        <v>5</v>
      </c>
      <c r="R57" s="21">
        <f t="shared" si="0"/>
        <v>160000</v>
      </c>
      <c r="S57" s="21">
        <v>160000</v>
      </c>
      <c r="T57" s="5">
        <f t="shared" si="1"/>
        <v>0</v>
      </c>
      <c r="U57">
        <f t="shared" si="2"/>
        <v>4</v>
      </c>
      <c r="V57">
        <f t="shared" si="3"/>
        <v>4</v>
      </c>
      <c r="W57" s="5">
        <f t="shared" si="4"/>
        <v>0</v>
      </c>
      <c r="X57" s="2" t="s">
        <v>6</v>
      </c>
      <c r="Y57" s="2" t="s">
        <v>2</v>
      </c>
      <c r="Z57">
        <v>706</v>
      </c>
      <c r="AC57">
        <f t="shared" si="5"/>
        <v>2024</v>
      </c>
      <c r="AD57">
        <f t="shared" si="6"/>
        <v>2024</v>
      </c>
      <c r="AE57">
        <f t="shared" si="7"/>
        <v>2024</v>
      </c>
      <c r="AF57">
        <f t="shared" si="8"/>
        <v>4</v>
      </c>
    </row>
    <row r="58" spans="1:32" x14ac:dyDescent="0.25">
      <c r="A58" s="20">
        <v>45407</v>
      </c>
      <c r="B58" s="2">
        <v>1044</v>
      </c>
      <c r="C58" s="19" t="s">
        <v>535</v>
      </c>
      <c r="D58" s="19" t="s">
        <v>2</v>
      </c>
      <c r="E58" s="19" t="s">
        <v>2</v>
      </c>
      <c r="F58" s="19" t="s">
        <v>86</v>
      </c>
      <c r="G58" s="19" t="s">
        <v>280</v>
      </c>
      <c r="H58" s="19" t="s">
        <v>289</v>
      </c>
      <c r="I58" s="19" t="s">
        <v>290</v>
      </c>
      <c r="J58" s="2" t="s">
        <v>2</v>
      </c>
      <c r="K58" s="20">
        <v>45407</v>
      </c>
      <c r="L58" s="20"/>
      <c r="M58" s="22">
        <v>190</v>
      </c>
      <c r="N58" s="21">
        <v>165000</v>
      </c>
      <c r="O58" s="2" t="s">
        <v>3</v>
      </c>
      <c r="P58" s="2" t="s">
        <v>128</v>
      </c>
      <c r="Q58" s="2" t="s">
        <v>97</v>
      </c>
      <c r="R58" s="21">
        <f t="shared" si="0"/>
        <v>0</v>
      </c>
      <c r="S58" s="21">
        <v>0</v>
      </c>
      <c r="T58" s="5">
        <f t="shared" si="1"/>
        <v>0</v>
      </c>
      <c r="U58">
        <f t="shared" si="2"/>
        <v>4</v>
      </c>
      <c r="V58">
        <f t="shared" si="3"/>
        <v>4</v>
      </c>
      <c r="W58" s="5">
        <f t="shared" si="4"/>
        <v>0</v>
      </c>
      <c r="X58" s="2" t="s">
        <v>6</v>
      </c>
      <c r="Y58" s="2" t="s">
        <v>2</v>
      </c>
      <c r="AC58">
        <f t="shared" si="5"/>
        <v>2024</v>
      </c>
      <c r="AD58">
        <f t="shared" si="6"/>
        <v>2024</v>
      </c>
      <c r="AE58" t="str">
        <f t="shared" si="7"/>
        <v/>
      </c>
      <c r="AF58" t="str">
        <f t="shared" si="8"/>
        <v/>
      </c>
    </row>
    <row r="59" spans="1:32" x14ac:dyDescent="0.25">
      <c r="A59" s="20">
        <v>45408</v>
      </c>
      <c r="B59" s="2">
        <v>1045</v>
      </c>
      <c r="C59" s="19" t="s">
        <v>269</v>
      </c>
      <c r="D59" s="19" t="s">
        <v>2</v>
      </c>
      <c r="E59" s="19" t="s">
        <v>2</v>
      </c>
      <c r="F59" s="19" t="s">
        <v>86</v>
      </c>
      <c r="G59" s="19" t="s">
        <v>195</v>
      </c>
      <c r="H59" s="19" t="s">
        <v>291</v>
      </c>
      <c r="I59" s="19" t="s">
        <v>292</v>
      </c>
      <c r="J59" s="2" t="s">
        <v>2</v>
      </c>
      <c r="K59" s="20">
        <v>45418</v>
      </c>
      <c r="L59" s="20">
        <v>45419</v>
      </c>
      <c r="M59" s="22">
        <v>206</v>
      </c>
      <c r="N59" s="21">
        <v>166000</v>
      </c>
      <c r="O59" s="2" t="s">
        <v>76</v>
      </c>
      <c r="P59" s="2" t="s">
        <v>4</v>
      </c>
      <c r="Q59" s="2" t="s">
        <v>5</v>
      </c>
      <c r="R59" s="21">
        <f t="shared" si="0"/>
        <v>166000</v>
      </c>
      <c r="S59" s="21">
        <v>166000</v>
      </c>
      <c r="T59" s="5">
        <f t="shared" si="1"/>
        <v>0</v>
      </c>
      <c r="U59">
        <f t="shared" si="2"/>
        <v>5</v>
      </c>
      <c r="V59">
        <f t="shared" si="3"/>
        <v>4</v>
      </c>
      <c r="W59" s="5">
        <f t="shared" si="4"/>
        <v>0</v>
      </c>
      <c r="X59" s="2" t="s">
        <v>6</v>
      </c>
      <c r="Y59" s="2" t="s">
        <v>2</v>
      </c>
      <c r="Z59">
        <v>710</v>
      </c>
      <c r="AC59">
        <f t="shared" si="5"/>
        <v>2024</v>
      </c>
      <c r="AD59">
        <f t="shared" si="6"/>
        <v>2024</v>
      </c>
      <c r="AE59">
        <f t="shared" si="7"/>
        <v>2024</v>
      </c>
      <c r="AF59">
        <f t="shared" si="8"/>
        <v>5</v>
      </c>
    </row>
    <row r="60" spans="1:32" x14ac:dyDescent="0.25">
      <c r="A60" s="20">
        <v>45408</v>
      </c>
      <c r="B60" s="2">
        <v>1046</v>
      </c>
      <c r="C60" s="19" t="s">
        <v>293</v>
      </c>
      <c r="D60" s="19" t="s">
        <v>2</v>
      </c>
      <c r="E60" s="19" t="s">
        <v>2</v>
      </c>
      <c r="F60" s="19" t="s">
        <v>86</v>
      </c>
      <c r="G60" s="19" t="s">
        <v>294</v>
      </c>
      <c r="H60" s="19" t="s">
        <v>295</v>
      </c>
      <c r="I60" s="19" t="s">
        <v>296</v>
      </c>
      <c r="J60" s="2" t="s">
        <v>2</v>
      </c>
      <c r="K60" s="20">
        <v>45411</v>
      </c>
      <c r="L60" s="20">
        <v>45411</v>
      </c>
      <c r="M60" s="22">
        <v>200</v>
      </c>
      <c r="N60" s="21">
        <v>179500</v>
      </c>
      <c r="O60" s="2" t="s">
        <v>76</v>
      </c>
      <c r="P60" s="2" t="s">
        <v>4</v>
      </c>
      <c r="Q60" s="2" t="s">
        <v>5</v>
      </c>
      <c r="R60" s="21">
        <f t="shared" si="0"/>
        <v>179500</v>
      </c>
      <c r="S60" s="21">
        <v>179500</v>
      </c>
      <c r="T60" s="5">
        <f t="shared" si="1"/>
        <v>0</v>
      </c>
      <c r="U60">
        <f t="shared" si="2"/>
        <v>4</v>
      </c>
      <c r="V60">
        <f t="shared" si="3"/>
        <v>4</v>
      </c>
      <c r="W60" s="5">
        <f t="shared" si="4"/>
        <v>0</v>
      </c>
      <c r="X60" s="2" t="s">
        <v>6</v>
      </c>
      <c r="Y60" s="2" t="s">
        <v>2</v>
      </c>
      <c r="Z60">
        <v>707</v>
      </c>
      <c r="AA60" t="s">
        <v>1526</v>
      </c>
      <c r="AC60">
        <f t="shared" si="5"/>
        <v>2024</v>
      </c>
      <c r="AD60">
        <f t="shared" si="6"/>
        <v>2024</v>
      </c>
      <c r="AE60">
        <f t="shared" si="7"/>
        <v>2024</v>
      </c>
      <c r="AF60">
        <f t="shared" si="8"/>
        <v>4</v>
      </c>
    </row>
    <row r="61" spans="1:32" x14ac:dyDescent="0.25">
      <c r="A61" s="20">
        <v>45412</v>
      </c>
      <c r="B61" s="2">
        <v>1047</v>
      </c>
      <c r="C61" s="19" t="s">
        <v>297</v>
      </c>
      <c r="D61" s="19" t="s">
        <v>2</v>
      </c>
      <c r="E61" s="19" t="s">
        <v>2</v>
      </c>
      <c r="F61" s="19" t="s">
        <v>298</v>
      </c>
      <c r="G61" s="19" t="s">
        <v>299</v>
      </c>
      <c r="H61" s="19" t="s">
        <v>300</v>
      </c>
      <c r="I61" s="19" t="s">
        <v>301</v>
      </c>
      <c r="J61" s="2" t="s">
        <v>2</v>
      </c>
      <c r="K61" s="20">
        <v>45412</v>
      </c>
      <c r="L61" s="20">
        <v>45412</v>
      </c>
      <c r="M61" s="22">
        <v>207</v>
      </c>
      <c r="N61" s="21">
        <v>166000</v>
      </c>
      <c r="O61" s="2" t="s">
        <v>76</v>
      </c>
      <c r="P61" s="2" t="s">
        <v>4</v>
      </c>
      <c r="Q61" s="2" t="s">
        <v>5</v>
      </c>
      <c r="R61" s="21">
        <f t="shared" si="0"/>
        <v>166000</v>
      </c>
      <c r="S61" s="21">
        <v>166000</v>
      </c>
      <c r="T61" s="5">
        <f t="shared" si="1"/>
        <v>0</v>
      </c>
      <c r="U61">
        <f t="shared" si="2"/>
        <v>4</v>
      </c>
      <c r="V61">
        <f t="shared" si="3"/>
        <v>4</v>
      </c>
      <c r="W61" s="5">
        <f t="shared" si="4"/>
        <v>0</v>
      </c>
      <c r="X61" s="2" t="s">
        <v>6</v>
      </c>
      <c r="Y61" s="2" t="s">
        <v>2</v>
      </c>
      <c r="Z61">
        <v>708</v>
      </c>
      <c r="AC61">
        <f t="shared" si="5"/>
        <v>2024</v>
      </c>
      <c r="AD61">
        <f t="shared" si="6"/>
        <v>2024</v>
      </c>
      <c r="AE61">
        <f t="shared" si="7"/>
        <v>2024</v>
      </c>
      <c r="AF61">
        <f t="shared" si="8"/>
        <v>4</v>
      </c>
    </row>
    <row r="62" spans="1:32" x14ac:dyDescent="0.25">
      <c r="A62" s="20">
        <v>45414</v>
      </c>
      <c r="B62" s="2">
        <v>1048</v>
      </c>
      <c r="C62" s="19" t="s">
        <v>302</v>
      </c>
      <c r="D62" s="19" t="s">
        <v>2</v>
      </c>
      <c r="E62" s="19" t="s">
        <v>2</v>
      </c>
      <c r="F62" s="19" t="s">
        <v>303</v>
      </c>
      <c r="G62" s="19" t="s">
        <v>237</v>
      </c>
      <c r="H62" s="19" t="s">
        <v>304</v>
      </c>
      <c r="I62" s="19" t="s">
        <v>305</v>
      </c>
      <c r="J62" s="2" t="s">
        <v>2</v>
      </c>
      <c r="K62" s="20">
        <v>45435</v>
      </c>
      <c r="L62" s="20">
        <v>45435</v>
      </c>
      <c r="M62" s="22">
        <v>0</v>
      </c>
      <c r="N62" s="21">
        <v>0</v>
      </c>
      <c r="O62" s="2" t="s">
        <v>3</v>
      </c>
      <c r="P62" s="2" t="s">
        <v>306</v>
      </c>
      <c r="Q62" s="2" t="s">
        <v>5</v>
      </c>
      <c r="R62" s="21">
        <f t="shared" si="0"/>
        <v>0</v>
      </c>
      <c r="S62" s="21">
        <v>0</v>
      </c>
      <c r="T62" s="5">
        <f t="shared" si="1"/>
        <v>0</v>
      </c>
      <c r="U62">
        <f t="shared" si="2"/>
        <v>5</v>
      </c>
      <c r="V62">
        <f t="shared" si="3"/>
        <v>5</v>
      </c>
      <c r="W62" s="5">
        <f t="shared" si="4"/>
        <v>0</v>
      </c>
      <c r="X62" s="2" t="s">
        <v>6</v>
      </c>
      <c r="Y62" s="2" t="s">
        <v>2</v>
      </c>
      <c r="AC62">
        <f t="shared" si="5"/>
        <v>2024</v>
      </c>
      <c r="AD62">
        <f t="shared" si="6"/>
        <v>2024</v>
      </c>
      <c r="AE62">
        <f t="shared" si="7"/>
        <v>2024</v>
      </c>
      <c r="AF62">
        <f t="shared" si="8"/>
        <v>5</v>
      </c>
    </row>
    <row r="63" spans="1:32" x14ac:dyDescent="0.25">
      <c r="A63" s="20">
        <v>45415</v>
      </c>
      <c r="B63" s="2">
        <v>1049</v>
      </c>
      <c r="C63" s="19" t="s">
        <v>297</v>
      </c>
      <c r="D63" s="19" t="s">
        <v>2</v>
      </c>
      <c r="E63" s="19" t="s">
        <v>2</v>
      </c>
      <c r="F63" s="19" t="s">
        <v>298</v>
      </c>
      <c r="G63" s="19" t="s">
        <v>299</v>
      </c>
      <c r="H63" s="19" t="s">
        <v>300</v>
      </c>
      <c r="I63" s="19" t="s">
        <v>307</v>
      </c>
      <c r="J63" s="2" t="s">
        <v>2</v>
      </c>
      <c r="K63" s="20">
        <v>45415</v>
      </c>
      <c r="L63" s="20">
        <v>45419</v>
      </c>
      <c r="M63" s="22">
        <v>180</v>
      </c>
      <c r="N63" s="21">
        <v>166000</v>
      </c>
      <c r="O63" s="2" t="s">
        <v>76</v>
      </c>
      <c r="P63" s="2" t="s">
        <v>4</v>
      </c>
      <c r="Q63" s="2" t="s">
        <v>5</v>
      </c>
      <c r="R63" s="21">
        <f t="shared" si="0"/>
        <v>166000</v>
      </c>
      <c r="S63" s="21">
        <v>166000</v>
      </c>
      <c r="T63" s="5">
        <f t="shared" si="1"/>
        <v>0</v>
      </c>
      <c r="U63">
        <f t="shared" si="2"/>
        <v>5</v>
      </c>
      <c r="V63">
        <f t="shared" si="3"/>
        <v>5</v>
      </c>
      <c r="W63" s="5">
        <f t="shared" si="4"/>
        <v>0</v>
      </c>
      <c r="X63" s="2" t="s">
        <v>6</v>
      </c>
      <c r="Y63" s="2" t="s">
        <v>2</v>
      </c>
      <c r="Z63">
        <v>709</v>
      </c>
      <c r="AC63">
        <f t="shared" si="5"/>
        <v>2024</v>
      </c>
      <c r="AD63">
        <f t="shared" si="6"/>
        <v>2024</v>
      </c>
      <c r="AE63">
        <f t="shared" si="7"/>
        <v>2024</v>
      </c>
      <c r="AF63">
        <f t="shared" si="8"/>
        <v>5</v>
      </c>
    </row>
    <row r="64" spans="1:32" x14ac:dyDescent="0.25">
      <c r="A64" s="20">
        <v>45418</v>
      </c>
      <c r="B64" s="2">
        <v>1050</v>
      </c>
      <c r="C64" s="19" t="s">
        <v>0</v>
      </c>
      <c r="D64" s="19" t="s">
        <v>111</v>
      </c>
      <c r="E64" s="19" t="s">
        <v>2</v>
      </c>
      <c r="F64" s="19" t="s">
        <v>308</v>
      </c>
      <c r="G64" s="19" t="s">
        <v>309</v>
      </c>
      <c r="H64" s="19" t="s">
        <v>310</v>
      </c>
      <c r="I64" s="19" t="s">
        <v>311</v>
      </c>
      <c r="J64" s="2" t="s">
        <v>2</v>
      </c>
      <c r="K64" s="20">
        <v>45434</v>
      </c>
      <c r="L64" s="20">
        <v>45429</v>
      </c>
      <c r="M64" s="22">
        <v>805</v>
      </c>
      <c r="N64" s="21">
        <v>741900</v>
      </c>
      <c r="O64" s="2" t="s">
        <v>76</v>
      </c>
      <c r="P64" s="2" t="s">
        <v>4</v>
      </c>
      <c r="Q64" s="2" t="s">
        <v>5</v>
      </c>
      <c r="R64" s="21">
        <f t="shared" si="0"/>
        <v>741900</v>
      </c>
      <c r="S64" s="21">
        <v>741900</v>
      </c>
      <c r="T64" s="5">
        <f t="shared" si="1"/>
        <v>0</v>
      </c>
      <c r="U64">
        <f t="shared" si="2"/>
        <v>5</v>
      </c>
      <c r="V64">
        <f t="shared" si="3"/>
        <v>5</v>
      </c>
      <c r="W64" s="5">
        <f t="shared" si="4"/>
        <v>0</v>
      </c>
      <c r="X64" s="2" t="s">
        <v>6</v>
      </c>
      <c r="Y64" s="2" t="s">
        <v>2</v>
      </c>
      <c r="AA64" t="s">
        <v>1527</v>
      </c>
      <c r="AC64">
        <f t="shared" si="5"/>
        <v>2024</v>
      </c>
      <c r="AD64">
        <f t="shared" si="6"/>
        <v>2024</v>
      </c>
      <c r="AE64">
        <f t="shared" si="7"/>
        <v>2024</v>
      </c>
      <c r="AF64">
        <f t="shared" si="8"/>
        <v>5</v>
      </c>
    </row>
    <row r="65" spans="1:32" x14ac:dyDescent="0.25">
      <c r="A65" s="20">
        <v>45418</v>
      </c>
      <c r="B65" s="2">
        <v>1051</v>
      </c>
      <c r="C65" s="19" t="s">
        <v>0</v>
      </c>
      <c r="D65" s="19" t="s">
        <v>111</v>
      </c>
      <c r="E65" s="19" t="s">
        <v>2</v>
      </c>
      <c r="F65" s="19" t="s">
        <v>312</v>
      </c>
      <c r="G65" s="19" t="s">
        <v>309</v>
      </c>
      <c r="H65" s="19" t="s">
        <v>313</v>
      </c>
      <c r="I65" s="19" t="s">
        <v>314</v>
      </c>
      <c r="J65" s="2" t="s">
        <v>2</v>
      </c>
      <c r="K65" s="20">
        <v>45434</v>
      </c>
      <c r="L65" s="20">
        <v>45429</v>
      </c>
      <c r="M65" s="22">
        <v>325</v>
      </c>
      <c r="N65" s="21">
        <v>299820</v>
      </c>
      <c r="O65" s="2" t="s">
        <v>76</v>
      </c>
      <c r="P65" s="2" t="s">
        <v>4</v>
      </c>
      <c r="Q65" s="2" t="s">
        <v>5</v>
      </c>
      <c r="R65" s="21">
        <f t="shared" si="0"/>
        <v>299820</v>
      </c>
      <c r="S65" s="21">
        <v>299820</v>
      </c>
      <c r="T65" s="5">
        <f t="shared" si="1"/>
        <v>0</v>
      </c>
      <c r="U65">
        <f t="shared" si="2"/>
        <v>5</v>
      </c>
      <c r="V65">
        <f t="shared" si="3"/>
        <v>5</v>
      </c>
      <c r="W65" s="5">
        <f t="shared" si="4"/>
        <v>0</v>
      </c>
      <c r="X65" s="2" t="s">
        <v>6</v>
      </c>
      <c r="Y65" s="2" t="s">
        <v>2</v>
      </c>
      <c r="AA65" t="s">
        <v>1528</v>
      </c>
      <c r="AC65">
        <f t="shared" si="5"/>
        <v>2024</v>
      </c>
      <c r="AD65">
        <f t="shared" si="6"/>
        <v>2024</v>
      </c>
      <c r="AE65">
        <f t="shared" si="7"/>
        <v>2024</v>
      </c>
      <c r="AF65">
        <f t="shared" si="8"/>
        <v>5</v>
      </c>
    </row>
    <row r="66" spans="1:32" x14ac:dyDescent="0.25">
      <c r="A66" s="20">
        <v>45418</v>
      </c>
      <c r="B66" s="2">
        <v>1052</v>
      </c>
      <c r="C66" s="19" t="s">
        <v>315</v>
      </c>
      <c r="D66" s="19" t="s">
        <v>2</v>
      </c>
      <c r="E66" s="19" t="s">
        <v>2</v>
      </c>
      <c r="F66" s="19" t="s">
        <v>316</v>
      </c>
      <c r="G66" s="19" t="s">
        <v>317</v>
      </c>
      <c r="H66" s="19" t="s">
        <v>318</v>
      </c>
      <c r="I66" s="19" t="s">
        <v>319</v>
      </c>
      <c r="J66" s="2" t="s">
        <v>2</v>
      </c>
      <c r="K66" s="20">
        <v>45419</v>
      </c>
      <c r="L66" s="20">
        <v>45419</v>
      </c>
      <c r="M66" s="22">
        <v>16</v>
      </c>
      <c r="N66" s="21">
        <v>15000</v>
      </c>
      <c r="O66" s="2" t="s">
        <v>76</v>
      </c>
      <c r="P66" s="2" t="s">
        <v>320</v>
      </c>
      <c r="Q66" s="2" t="s">
        <v>5</v>
      </c>
      <c r="R66" s="21">
        <f t="shared" ref="R66:R129" si="9">IF(Q66="Aceptado",N66,0)</f>
        <v>15000</v>
      </c>
      <c r="S66" s="21">
        <v>15000</v>
      </c>
      <c r="T66" s="5">
        <f t="shared" ref="T66:T129" si="10">IFERROR(+T65+R66-S66,0)</f>
        <v>0</v>
      </c>
      <c r="U66">
        <f t="shared" ref="U66:U129" si="11">IF(NOT(ISBLANK(K66)),MONTH(K66),"")</f>
        <v>5</v>
      </c>
      <c r="V66">
        <f t="shared" ref="V66:V129" si="12">IF(NOT(ISBLANK(A66)),MONTH(A66),"")</f>
        <v>5</v>
      </c>
      <c r="W66" s="5">
        <f t="shared" ref="W66:W129" si="13">IFERROR(+S66-R66,0)</f>
        <v>0</v>
      </c>
      <c r="X66" s="2" t="s">
        <v>6</v>
      </c>
      <c r="Y66" s="2" t="s">
        <v>2</v>
      </c>
      <c r="AC66">
        <f t="shared" ref="AC66:AC129" si="14">IF(NOT(ISBLANK(K66)),YEAR(K66),"")</f>
        <v>2024</v>
      </c>
      <c r="AD66">
        <f t="shared" ref="AD66:AD129" si="15">IF(NOT(ISBLANK(A66)),YEAR(A66),"")</f>
        <v>2024</v>
      </c>
      <c r="AE66">
        <f t="shared" ref="AE66:AE129" si="16">IF(NOT(ISBLANK(L66)),YEAR(L66),"")</f>
        <v>2024</v>
      </c>
      <c r="AF66">
        <f t="shared" ref="AF66:AF129" si="17">IF(NOT(ISBLANK(L66)),MONTH(L66),"")</f>
        <v>5</v>
      </c>
    </row>
    <row r="67" spans="1:32" x14ac:dyDescent="0.25">
      <c r="A67" s="20">
        <v>45420</v>
      </c>
      <c r="B67" s="2">
        <v>1053</v>
      </c>
      <c r="C67" s="19" t="s">
        <v>269</v>
      </c>
      <c r="D67" s="19" t="s">
        <v>2</v>
      </c>
      <c r="E67" s="19" t="s">
        <v>2</v>
      </c>
      <c r="F67" s="19" t="s">
        <v>86</v>
      </c>
      <c r="G67" s="19" t="s">
        <v>94</v>
      </c>
      <c r="H67" s="19" t="s">
        <v>321</v>
      </c>
      <c r="I67" s="19" t="s">
        <v>322</v>
      </c>
      <c r="J67" s="2" t="s">
        <v>2</v>
      </c>
      <c r="K67" s="20">
        <v>45420</v>
      </c>
      <c r="L67" s="20">
        <v>45421</v>
      </c>
      <c r="M67" s="22">
        <v>139</v>
      </c>
      <c r="N67" s="21">
        <v>112500</v>
      </c>
      <c r="O67" s="2" t="s">
        <v>76</v>
      </c>
      <c r="P67" s="2" t="s">
        <v>4</v>
      </c>
      <c r="Q67" s="2" t="s">
        <v>5</v>
      </c>
      <c r="R67" s="21">
        <f t="shared" si="9"/>
        <v>112500</v>
      </c>
      <c r="S67" s="21">
        <v>112500</v>
      </c>
      <c r="T67" s="5">
        <f t="shared" si="10"/>
        <v>0</v>
      </c>
      <c r="U67">
        <f t="shared" si="11"/>
        <v>5</v>
      </c>
      <c r="V67">
        <f t="shared" si="12"/>
        <v>5</v>
      </c>
      <c r="W67" s="5">
        <f t="shared" si="13"/>
        <v>0</v>
      </c>
      <c r="X67" s="2" t="s">
        <v>6</v>
      </c>
      <c r="Y67" s="2" t="s">
        <v>2</v>
      </c>
      <c r="Z67">
        <v>712</v>
      </c>
      <c r="AC67">
        <f t="shared" si="14"/>
        <v>2024</v>
      </c>
      <c r="AD67">
        <f t="shared" si="15"/>
        <v>2024</v>
      </c>
      <c r="AE67">
        <f t="shared" si="16"/>
        <v>2024</v>
      </c>
      <c r="AF67">
        <f t="shared" si="17"/>
        <v>5</v>
      </c>
    </row>
    <row r="68" spans="1:32" x14ac:dyDescent="0.25">
      <c r="A68" s="20">
        <v>45420</v>
      </c>
      <c r="B68" s="2">
        <v>1054</v>
      </c>
      <c r="C68" s="19" t="s">
        <v>297</v>
      </c>
      <c r="D68" s="19" t="s">
        <v>2</v>
      </c>
      <c r="E68" s="19" t="s">
        <v>2</v>
      </c>
      <c r="F68" s="19" t="s">
        <v>86</v>
      </c>
      <c r="G68" s="19" t="s">
        <v>323</v>
      </c>
      <c r="H68" s="19" t="s">
        <v>324</v>
      </c>
      <c r="I68" s="19" t="s">
        <v>325</v>
      </c>
      <c r="J68" s="2" t="s">
        <v>2</v>
      </c>
      <c r="K68" s="20">
        <v>45420</v>
      </c>
      <c r="L68" s="20">
        <v>45420</v>
      </c>
      <c r="M68" s="22">
        <v>192</v>
      </c>
      <c r="N68" s="21">
        <v>173500</v>
      </c>
      <c r="O68" s="2" t="s">
        <v>76</v>
      </c>
      <c r="P68" s="2" t="s">
        <v>4</v>
      </c>
      <c r="Q68" s="2" t="s">
        <v>5</v>
      </c>
      <c r="R68" s="21">
        <f t="shared" si="9"/>
        <v>173500</v>
      </c>
      <c r="S68" s="21">
        <v>173500</v>
      </c>
      <c r="T68" s="5">
        <f t="shared" si="10"/>
        <v>0</v>
      </c>
      <c r="U68">
        <f t="shared" si="11"/>
        <v>5</v>
      </c>
      <c r="V68">
        <f t="shared" si="12"/>
        <v>5</v>
      </c>
      <c r="W68" s="5">
        <f t="shared" si="13"/>
        <v>0</v>
      </c>
      <c r="X68" s="2" t="s">
        <v>6</v>
      </c>
      <c r="Y68" s="2" t="s">
        <v>2</v>
      </c>
      <c r="Z68">
        <v>711</v>
      </c>
      <c r="AC68">
        <f t="shared" si="14"/>
        <v>2024</v>
      </c>
      <c r="AD68">
        <f t="shared" si="15"/>
        <v>2024</v>
      </c>
      <c r="AE68">
        <f t="shared" si="16"/>
        <v>2024</v>
      </c>
      <c r="AF68">
        <f t="shared" si="17"/>
        <v>5</v>
      </c>
    </row>
    <row r="69" spans="1:32" x14ac:dyDescent="0.25">
      <c r="A69" s="20">
        <v>45421</v>
      </c>
      <c r="B69" s="2">
        <v>1055</v>
      </c>
      <c r="C69" s="19" t="s">
        <v>535</v>
      </c>
      <c r="D69" s="19" t="s">
        <v>2</v>
      </c>
      <c r="E69" s="19" t="s">
        <v>2</v>
      </c>
      <c r="F69" s="19" t="s">
        <v>326</v>
      </c>
      <c r="G69" s="19" t="s">
        <v>327</v>
      </c>
      <c r="H69" s="19" t="s">
        <v>328</v>
      </c>
      <c r="I69" s="19" t="s">
        <v>329</v>
      </c>
      <c r="J69" s="2" t="s">
        <v>2</v>
      </c>
      <c r="K69" s="20">
        <v>45425</v>
      </c>
      <c r="L69" s="20">
        <v>45425</v>
      </c>
      <c r="M69" s="22">
        <v>216</v>
      </c>
      <c r="N69" s="21">
        <v>175500</v>
      </c>
      <c r="O69" s="2" t="s">
        <v>76</v>
      </c>
      <c r="P69" s="2" t="s">
        <v>4</v>
      </c>
      <c r="Q69" s="2" t="s">
        <v>5</v>
      </c>
      <c r="R69" s="21">
        <f t="shared" si="9"/>
        <v>175500</v>
      </c>
      <c r="S69" s="21">
        <v>175500</v>
      </c>
      <c r="T69" s="5">
        <f t="shared" si="10"/>
        <v>0</v>
      </c>
      <c r="U69">
        <f t="shared" si="11"/>
        <v>5</v>
      </c>
      <c r="V69">
        <f t="shared" si="12"/>
        <v>5</v>
      </c>
      <c r="W69" s="5">
        <f t="shared" si="13"/>
        <v>0</v>
      </c>
      <c r="X69" s="2" t="s">
        <v>6</v>
      </c>
      <c r="Y69" s="2" t="s">
        <v>2</v>
      </c>
      <c r="Z69">
        <v>713</v>
      </c>
      <c r="AC69">
        <f t="shared" si="14"/>
        <v>2024</v>
      </c>
      <c r="AD69">
        <f t="shared" si="15"/>
        <v>2024</v>
      </c>
      <c r="AE69">
        <f t="shared" si="16"/>
        <v>2024</v>
      </c>
      <c r="AF69">
        <f t="shared" si="17"/>
        <v>5</v>
      </c>
    </row>
    <row r="70" spans="1:32" x14ac:dyDescent="0.25">
      <c r="A70" s="20">
        <v>45422</v>
      </c>
      <c r="B70" s="2">
        <v>1056</v>
      </c>
      <c r="C70" s="19" t="s">
        <v>330</v>
      </c>
      <c r="D70" s="19" t="s">
        <v>2</v>
      </c>
      <c r="E70" s="19" t="s">
        <v>2</v>
      </c>
      <c r="F70" s="19" t="s">
        <v>316</v>
      </c>
      <c r="G70" s="19" t="s">
        <v>331</v>
      </c>
      <c r="H70" s="19" t="s">
        <v>332</v>
      </c>
      <c r="I70" s="19" t="s">
        <v>333</v>
      </c>
      <c r="J70" s="2" t="s">
        <v>2</v>
      </c>
      <c r="K70" s="20">
        <v>45441</v>
      </c>
      <c r="L70" s="20">
        <v>45427</v>
      </c>
      <c r="M70" s="22">
        <v>147</v>
      </c>
      <c r="N70" s="21">
        <v>133500</v>
      </c>
      <c r="O70" s="2" t="s">
        <v>76</v>
      </c>
      <c r="P70" s="2" t="s">
        <v>4</v>
      </c>
      <c r="Q70" s="2" t="s">
        <v>5</v>
      </c>
      <c r="R70" s="21">
        <f t="shared" si="9"/>
        <v>133500</v>
      </c>
      <c r="S70" s="21">
        <v>133500</v>
      </c>
      <c r="T70" s="5">
        <f t="shared" si="10"/>
        <v>0</v>
      </c>
      <c r="U70">
        <f t="shared" si="11"/>
        <v>5</v>
      </c>
      <c r="V70">
        <f t="shared" si="12"/>
        <v>5</v>
      </c>
      <c r="W70" s="5">
        <f t="shared" si="13"/>
        <v>0</v>
      </c>
      <c r="X70" s="2" t="s">
        <v>6</v>
      </c>
      <c r="Y70" s="2" t="s">
        <v>2</v>
      </c>
      <c r="Z70">
        <v>719</v>
      </c>
      <c r="AC70">
        <f t="shared" si="14"/>
        <v>2024</v>
      </c>
      <c r="AD70">
        <f t="shared" si="15"/>
        <v>2024</v>
      </c>
      <c r="AE70">
        <f t="shared" si="16"/>
        <v>2024</v>
      </c>
      <c r="AF70">
        <f t="shared" si="17"/>
        <v>5</v>
      </c>
    </row>
    <row r="71" spans="1:32" x14ac:dyDescent="0.25">
      <c r="A71" s="20">
        <v>45423</v>
      </c>
      <c r="B71" s="2">
        <v>1057</v>
      </c>
      <c r="C71" s="19" t="s">
        <v>1732</v>
      </c>
      <c r="D71" s="19" t="s">
        <v>2</v>
      </c>
      <c r="E71" s="19" t="s">
        <v>2</v>
      </c>
      <c r="F71" s="19" t="s">
        <v>106</v>
      </c>
      <c r="G71" s="19" t="s">
        <v>334</v>
      </c>
      <c r="H71" s="19" t="s">
        <v>335</v>
      </c>
      <c r="I71" s="19" t="s">
        <v>336</v>
      </c>
      <c r="J71" s="2" t="s">
        <v>2</v>
      </c>
      <c r="K71" s="20">
        <v>45437</v>
      </c>
      <c r="L71" s="20">
        <v>45427</v>
      </c>
      <c r="M71" s="22">
        <v>450</v>
      </c>
      <c r="N71" s="21">
        <v>409500</v>
      </c>
      <c r="O71" s="2" t="s">
        <v>76</v>
      </c>
      <c r="P71" s="2" t="s">
        <v>4</v>
      </c>
      <c r="Q71" s="2" t="s">
        <v>5</v>
      </c>
      <c r="R71" s="21">
        <f t="shared" si="9"/>
        <v>409500</v>
      </c>
      <c r="S71" s="21">
        <v>409500</v>
      </c>
      <c r="T71" s="5">
        <f t="shared" si="10"/>
        <v>0</v>
      </c>
      <c r="U71">
        <f t="shared" si="11"/>
        <v>5</v>
      </c>
      <c r="V71">
        <f t="shared" si="12"/>
        <v>5</v>
      </c>
      <c r="W71" s="5">
        <f t="shared" si="13"/>
        <v>0</v>
      </c>
      <c r="X71" s="2" t="s">
        <v>6</v>
      </c>
      <c r="Y71" s="2" t="s">
        <v>2</v>
      </c>
      <c r="Z71">
        <v>718</v>
      </c>
      <c r="AC71">
        <f t="shared" si="14"/>
        <v>2024</v>
      </c>
      <c r="AD71">
        <f t="shared" si="15"/>
        <v>2024</v>
      </c>
      <c r="AE71">
        <f t="shared" si="16"/>
        <v>2024</v>
      </c>
      <c r="AF71">
        <f t="shared" si="17"/>
        <v>5</v>
      </c>
    </row>
    <row r="72" spans="1:32" x14ac:dyDescent="0.25">
      <c r="A72" s="20">
        <v>45427</v>
      </c>
      <c r="B72" s="2">
        <v>1058</v>
      </c>
      <c r="C72" s="19" t="s">
        <v>0</v>
      </c>
      <c r="D72" s="19" t="s">
        <v>111</v>
      </c>
      <c r="E72" s="19" t="s">
        <v>337</v>
      </c>
      <c r="F72" s="19" t="s">
        <v>338</v>
      </c>
      <c r="G72" s="19" t="s">
        <v>339</v>
      </c>
      <c r="H72" s="19" t="s">
        <v>340</v>
      </c>
      <c r="I72" s="19" t="s">
        <v>341</v>
      </c>
      <c r="J72" s="2" t="s">
        <v>342</v>
      </c>
      <c r="K72" s="20">
        <v>45427</v>
      </c>
      <c r="L72" s="20">
        <v>45429</v>
      </c>
      <c r="M72" s="22">
        <v>515</v>
      </c>
      <c r="N72" s="21">
        <v>470859</v>
      </c>
      <c r="O72" s="2" t="s">
        <v>76</v>
      </c>
      <c r="P72" s="2" t="s">
        <v>4</v>
      </c>
      <c r="Q72" s="2" t="s">
        <v>5</v>
      </c>
      <c r="R72" s="21">
        <f t="shared" si="9"/>
        <v>470859</v>
      </c>
      <c r="S72" s="21">
        <v>470859</v>
      </c>
      <c r="T72" s="5">
        <f t="shared" si="10"/>
        <v>0</v>
      </c>
      <c r="U72">
        <f t="shared" si="11"/>
        <v>5</v>
      </c>
      <c r="V72">
        <f t="shared" si="12"/>
        <v>5</v>
      </c>
      <c r="W72" s="5">
        <f t="shared" si="13"/>
        <v>0</v>
      </c>
      <c r="X72" s="2" t="s">
        <v>6</v>
      </c>
      <c r="Y72" s="2" t="s">
        <v>2</v>
      </c>
      <c r="AA72" t="s">
        <v>1529</v>
      </c>
      <c r="AC72">
        <f t="shared" si="14"/>
        <v>2024</v>
      </c>
      <c r="AD72">
        <f t="shared" si="15"/>
        <v>2024</v>
      </c>
      <c r="AE72">
        <f t="shared" si="16"/>
        <v>2024</v>
      </c>
      <c r="AF72">
        <f t="shared" si="17"/>
        <v>5</v>
      </c>
    </row>
    <row r="73" spans="1:32" x14ac:dyDescent="0.25">
      <c r="A73" s="20">
        <v>45427</v>
      </c>
      <c r="B73" s="2">
        <v>1059</v>
      </c>
      <c r="C73" s="19" t="s">
        <v>343</v>
      </c>
      <c r="D73" s="19" t="s">
        <v>2</v>
      </c>
      <c r="E73" s="19" t="s">
        <v>2</v>
      </c>
      <c r="F73" s="19" t="s">
        <v>344</v>
      </c>
      <c r="G73" s="19" t="s">
        <v>345</v>
      </c>
      <c r="H73" s="19" t="s">
        <v>346</v>
      </c>
      <c r="I73" s="19" t="s">
        <v>347</v>
      </c>
      <c r="J73" s="2" t="s">
        <v>2</v>
      </c>
      <c r="K73" s="20">
        <v>45428</v>
      </c>
      <c r="L73" s="20">
        <v>45432</v>
      </c>
      <c r="M73" s="22">
        <v>104</v>
      </c>
      <c r="N73" s="21">
        <v>95000</v>
      </c>
      <c r="O73" s="2" t="s">
        <v>76</v>
      </c>
      <c r="P73" s="2" t="s">
        <v>4</v>
      </c>
      <c r="Q73" s="2" t="s">
        <v>5</v>
      </c>
      <c r="R73" s="21">
        <f t="shared" si="9"/>
        <v>95000</v>
      </c>
      <c r="S73" s="21">
        <v>95000</v>
      </c>
      <c r="T73" s="5">
        <f t="shared" si="10"/>
        <v>0</v>
      </c>
      <c r="U73">
        <f t="shared" si="11"/>
        <v>5</v>
      </c>
      <c r="V73">
        <f t="shared" si="12"/>
        <v>5</v>
      </c>
      <c r="W73" s="5">
        <f t="shared" si="13"/>
        <v>0</v>
      </c>
      <c r="X73" s="2" t="s">
        <v>6</v>
      </c>
      <c r="Y73" s="2" t="s">
        <v>2</v>
      </c>
      <c r="AC73">
        <f t="shared" si="14"/>
        <v>2024</v>
      </c>
      <c r="AD73">
        <f t="shared" si="15"/>
        <v>2024</v>
      </c>
      <c r="AE73">
        <f t="shared" si="16"/>
        <v>2024</v>
      </c>
      <c r="AF73">
        <f t="shared" si="17"/>
        <v>5</v>
      </c>
    </row>
    <row r="74" spans="1:32" x14ac:dyDescent="0.25">
      <c r="A74" s="20">
        <v>45427</v>
      </c>
      <c r="B74" s="2">
        <v>1060</v>
      </c>
      <c r="C74" s="19" t="s">
        <v>135</v>
      </c>
      <c r="D74" s="19" t="s">
        <v>2</v>
      </c>
      <c r="E74" s="19" t="s">
        <v>2</v>
      </c>
      <c r="F74" s="19" t="s">
        <v>203</v>
      </c>
      <c r="G74" s="19" t="s">
        <v>91</v>
      </c>
      <c r="H74" s="19" t="s">
        <v>204</v>
      </c>
      <c r="I74" s="19" t="s">
        <v>348</v>
      </c>
      <c r="J74" s="2" t="s">
        <v>2</v>
      </c>
      <c r="K74" s="20">
        <v>45427</v>
      </c>
      <c r="L74" s="20">
        <v>45444</v>
      </c>
      <c r="M74" s="22">
        <v>0</v>
      </c>
      <c r="N74" s="21">
        <v>0</v>
      </c>
      <c r="O74" s="2" t="s">
        <v>76</v>
      </c>
      <c r="P74" s="2" t="s">
        <v>306</v>
      </c>
      <c r="Q74" s="2" t="s">
        <v>5</v>
      </c>
      <c r="R74" s="21">
        <f t="shared" si="9"/>
        <v>0</v>
      </c>
      <c r="S74" s="21">
        <v>0</v>
      </c>
      <c r="T74" s="5">
        <f t="shared" si="10"/>
        <v>0</v>
      </c>
      <c r="U74">
        <f t="shared" si="11"/>
        <v>5</v>
      </c>
      <c r="V74">
        <f t="shared" si="12"/>
        <v>5</v>
      </c>
      <c r="W74" s="5">
        <f t="shared" si="13"/>
        <v>0</v>
      </c>
      <c r="X74" s="2" t="s">
        <v>6</v>
      </c>
      <c r="Y74" s="2" t="s">
        <v>2</v>
      </c>
      <c r="AC74">
        <f t="shared" si="14"/>
        <v>2024</v>
      </c>
      <c r="AD74">
        <f t="shared" si="15"/>
        <v>2024</v>
      </c>
      <c r="AE74">
        <f t="shared" si="16"/>
        <v>2024</v>
      </c>
      <c r="AF74">
        <f t="shared" si="17"/>
        <v>6</v>
      </c>
    </row>
    <row r="75" spans="1:32" x14ac:dyDescent="0.25">
      <c r="A75" s="20">
        <v>45427</v>
      </c>
      <c r="B75" s="2">
        <v>1061</v>
      </c>
      <c r="C75" s="19" t="s">
        <v>135</v>
      </c>
      <c r="D75" s="19" t="s">
        <v>2</v>
      </c>
      <c r="E75" s="19" t="s">
        <v>2</v>
      </c>
      <c r="F75" s="19" t="s">
        <v>90</v>
      </c>
      <c r="G75" s="19" t="s">
        <v>91</v>
      </c>
      <c r="H75" s="19" t="s">
        <v>92</v>
      </c>
      <c r="I75" s="19" t="s">
        <v>349</v>
      </c>
      <c r="J75" s="2" t="s">
        <v>2</v>
      </c>
      <c r="K75" s="20">
        <v>45427</v>
      </c>
      <c r="L75" s="20">
        <v>45427</v>
      </c>
      <c r="M75" s="22">
        <v>54</v>
      </c>
      <c r="N75" s="21">
        <v>48500</v>
      </c>
      <c r="O75" s="2" t="s">
        <v>76</v>
      </c>
      <c r="P75" s="2" t="s">
        <v>4</v>
      </c>
      <c r="Q75" s="2" t="s">
        <v>5</v>
      </c>
      <c r="R75" s="21">
        <f t="shared" si="9"/>
        <v>48500</v>
      </c>
      <c r="S75" s="21">
        <v>48500</v>
      </c>
      <c r="T75" s="5">
        <f t="shared" si="10"/>
        <v>0</v>
      </c>
      <c r="U75">
        <f t="shared" si="11"/>
        <v>5</v>
      </c>
      <c r="V75">
        <f t="shared" si="12"/>
        <v>5</v>
      </c>
      <c r="W75" s="5">
        <f t="shared" si="13"/>
        <v>0</v>
      </c>
      <c r="X75" s="2" t="s">
        <v>6</v>
      </c>
      <c r="Y75" s="2" t="s">
        <v>2</v>
      </c>
      <c r="Z75">
        <v>716</v>
      </c>
      <c r="AC75">
        <f t="shared" si="14"/>
        <v>2024</v>
      </c>
      <c r="AD75">
        <f t="shared" si="15"/>
        <v>2024</v>
      </c>
      <c r="AE75">
        <f t="shared" si="16"/>
        <v>2024</v>
      </c>
      <c r="AF75">
        <f t="shared" si="17"/>
        <v>5</v>
      </c>
    </row>
    <row r="76" spans="1:32" x14ac:dyDescent="0.25">
      <c r="A76" s="20">
        <v>45428</v>
      </c>
      <c r="B76" s="2">
        <v>1062</v>
      </c>
      <c r="C76" s="19" t="s">
        <v>297</v>
      </c>
      <c r="D76" s="19" t="s">
        <v>2</v>
      </c>
      <c r="E76" s="19" t="s">
        <v>2</v>
      </c>
      <c r="F76" s="19" t="s">
        <v>350</v>
      </c>
      <c r="G76" s="19" t="s">
        <v>351</v>
      </c>
      <c r="H76" s="19" t="s">
        <v>352</v>
      </c>
      <c r="I76" s="19" t="s">
        <v>353</v>
      </c>
      <c r="J76" s="2" t="s">
        <v>2</v>
      </c>
      <c r="K76" s="20">
        <v>45428</v>
      </c>
      <c r="L76" s="20">
        <v>45432</v>
      </c>
      <c r="M76" s="22">
        <v>203</v>
      </c>
      <c r="N76" s="21">
        <v>166500</v>
      </c>
      <c r="O76" s="2" t="s">
        <v>76</v>
      </c>
      <c r="P76" s="2" t="s">
        <v>4</v>
      </c>
      <c r="Q76" s="2" t="s">
        <v>5</v>
      </c>
      <c r="R76" s="21">
        <f t="shared" si="9"/>
        <v>166500</v>
      </c>
      <c r="S76" s="21">
        <v>166500</v>
      </c>
      <c r="T76" s="5">
        <f t="shared" si="10"/>
        <v>0</v>
      </c>
      <c r="U76">
        <f t="shared" si="11"/>
        <v>5</v>
      </c>
      <c r="V76">
        <f t="shared" si="12"/>
        <v>5</v>
      </c>
      <c r="W76" s="5">
        <f t="shared" si="13"/>
        <v>0</v>
      </c>
      <c r="X76" s="2" t="s">
        <v>6</v>
      </c>
      <c r="Y76" s="2" t="s">
        <v>2</v>
      </c>
      <c r="Z76">
        <v>715</v>
      </c>
      <c r="AC76">
        <f t="shared" si="14"/>
        <v>2024</v>
      </c>
      <c r="AD76">
        <f t="shared" si="15"/>
        <v>2024</v>
      </c>
      <c r="AE76">
        <f t="shared" si="16"/>
        <v>2024</v>
      </c>
      <c r="AF76">
        <f t="shared" si="17"/>
        <v>5</v>
      </c>
    </row>
    <row r="77" spans="1:32" x14ac:dyDescent="0.25">
      <c r="A77" s="20">
        <v>45428</v>
      </c>
      <c r="B77" s="2">
        <v>1063</v>
      </c>
      <c r="C77" s="19" t="s">
        <v>354</v>
      </c>
      <c r="D77" s="19" t="s">
        <v>2</v>
      </c>
      <c r="E77" s="19" t="s">
        <v>2</v>
      </c>
      <c r="F77" s="19" t="s">
        <v>355</v>
      </c>
      <c r="G77" s="19" t="s">
        <v>356</v>
      </c>
      <c r="H77" s="19" t="s">
        <v>357</v>
      </c>
      <c r="I77" s="19" t="s">
        <v>358</v>
      </c>
      <c r="J77" s="2" t="s">
        <v>2</v>
      </c>
      <c r="K77" s="20">
        <v>45441</v>
      </c>
      <c r="L77" s="20">
        <v>45441</v>
      </c>
      <c r="M77" s="22">
        <v>96</v>
      </c>
      <c r="N77" s="21">
        <v>96450</v>
      </c>
      <c r="O77" s="2" t="s">
        <v>76</v>
      </c>
      <c r="P77" s="2" t="s">
        <v>4</v>
      </c>
      <c r="Q77" s="2" t="s">
        <v>5</v>
      </c>
      <c r="R77" s="21">
        <f t="shared" si="9"/>
        <v>96450</v>
      </c>
      <c r="S77" s="21">
        <v>96450</v>
      </c>
      <c r="T77" s="5">
        <f t="shared" si="10"/>
        <v>0</v>
      </c>
      <c r="U77">
        <f t="shared" si="11"/>
        <v>5</v>
      </c>
      <c r="V77">
        <f t="shared" si="12"/>
        <v>5</v>
      </c>
      <c r="W77" s="5">
        <f t="shared" si="13"/>
        <v>0</v>
      </c>
      <c r="X77" s="2" t="s">
        <v>6</v>
      </c>
      <c r="Y77" s="2" t="s">
        <v>2</v>
      </c>
      <c r="Z77">
        <v>720</v>
      </c>
      <c r="AA77" t="s">
        <v>1530</v>
      </c>
      <c r="AC77">
        <f t="shared" si="14"/>
        <v>2024</v>
      </c>
      <c r="AD77">
        <f t="shared" si="15"/>
        <v>2024</v>
      </c>
      <c r="AE77">
        <f t="shared" si="16"/>
        <v>2024</v>
      </c>
      <c r="AF77">
        <f t="shared" si="17"/>
        <v>5</v>
      </c>
    </row>
    <row r="78" spans="1:32" x14ac:dyDescent="0.25">
      <c r="A78" s="20">
        <v>45429.125</v>
      </c>
      <c r="B78" s="2">
        <v>1064</v>
      </c>
      <c r="C78" s="19" t="s">
        <v>297</v>
      </c>
      <c r="D78" s="19" t="s">
        <v>2</v>
      </c>
      <c r="E78" s="19" t="s">
        <v>2</v>
      </c>
      <c r="F78" s="19" t="s">
        <v>359</v>
      </c>
      <c r="G78" s="19" t="s">
        <v>327</v>
      </c>
      <c r="H78" s="19" t="s">
        <v>360</v>
      </c>
      <c r="I78" s="19" t="s">
        <v>361</v>
      </c>
      <c r="J78" s="2" t="s">
        <v>2</v>
      </c>
      <c r="K78" s="20">
        <v>45432.125</v>
      </c>
      <c r="L78" s="20">
        <v>45432.125</v>
      </c>
      <c r="M78" s="22">
        <v>160</v>
      </c>
      <c r="N78" s="21">
        <v>130500</v>
      </c>
      <c r="O78" s="2" t="s">
        <v>76</v>
      </c>
      <c r="P78" s="2" t="s">
        <v>4</v>
      </c>
      <c r="Q78" s="2" t="s">
        <v>5</v>
      </c>
      <c r="R78" s="21">
        <f t="shared" si="9"/>
        <v>130500</v>
      </c>
      <c r="S78" s="21">
        <v>130500</v>
      </c>
      <c r="T78" s="5">
        <f t="shared" si="10"/>
        <v>0</v>
      </c>
      <c r="U78">
        <f t="shared" si="11"/>
        <v>5</v>
      </c>
      <c r="V78">
        <f t="shared" si="12"/>
        <v>5</v>
      </c>
      <c r="W78" s="5">
        <f t="shared" si="13"/>
        <v>0</v>
      </c>
      <c r="X78" s="2" t="s">
        <v>6</v>
      </c>
      <c r="Y78" s="2" t="s">
        <v>2</v>
      </c>
      <c r="Z78">
        <v>715</v>
      </c>
      <c r="AC78">
        <f t="shared" si="14"/>
        <v>2024</v>
      </c>
      <c r="AD78">
        <f t="shared" si="15"/>
        <v>2024</v>
      </c>
      <c r="AE78">
        <f t="shared" si="16"/>
        <v>2024</v>
      </c>
      <c r="AF78">
        <f t="shared" si="17"/>
        <v>5</v>
      </c>
    </row>
    <row r="79" spans="1:32" x14ac:dyDescent="0.25">
      <c r="A79" s="20">
        <v>45433</v>
      </c>
      <c r="B79" s="2">
        <v>1065</v>
      </c>
      <c r="C79" s="19" t="s">
        <v>343</v>
      </c>
      <c r="D79" s="19" t="s">
        <v>2</v>
      </c>
      <c r="E79" s="19" t="s">
        <v>2</v>
      </c>
      <c r="F79" s="19" t="s">
        <v>362</v>
      </c>
      <c r="G79" s="19" t="s">
        <v>363</v>
      </c>
      <c r="H79" s="19" t="s">
        <v>364</v>
      </c>
      <c r="I79" s="19" t="s">
        <v>365</v>
      </c>
      <c r="J79" s="2" t="s">
        <v>2</v>
      </c>
      <c r="K79" s="20">
        <v>45435</v>
      </c>
      <c r="L79" s="20">
        <v>45433</v>
      </c>
      <c r="M79" s="22">
        <v>140</v>
      </c>
      <c r="N79" s="21">
        <v>127500</v>
      </c>
      <c r="O79" s="2" t="s">
        <v>76</v>
      </c>
      <c r="P79" s="2" t="s">
        <v>4</v>
      </c>
      <c r="Q79" s="2" t="s">
        <v>5</v>
      </c>
      <c r="R79" s="21">
        <f t="shared" si="9"/>
        <v>127500</v>
      </c>
      <c r="S79" s="21">
        <v>127500</v>
      </c>
      <c r="T79" s="5">
        <f t="shared" si="10"/>
        <v>0</v>
      </c>
      <c r="U79">
        <f t="shared" si="11"/>
        <v>5</v>
      </c>
      <c r="V79">
        <f t="shared" si="12"/>
        <v>5</v>
      </c>
      <c r="W79" s="5">
        <f t="shared" si="13"/>
        <v>0</v>
      </c>
      <c r="X79" s="2" t="s">
        <v>6</v>
      </c>
      <c r="Y79" s="2" t="s">
        <v>2</v>
      </c>
      <c r="Z79">
        <v>717</v>
      </c>
      <c r="AC79">
        <f t="shared" si="14"/>
        <v>2024</v>
      </c>
      <c r="AD79">
        <f t="shared" si="15"/>
        <v>2024</v>
      </c>
      <c r="AE79">
        <f t="shared" si="16"/>
        <v>2024</v>
      </c>
      <c r="AF79">
        <f t="shared" si="17"/>
        <v>5</v>
      </c>
    </row>
    <row r="80" spans="1:32" x14ac:dyDescent="0.25">
      <c r="A80" s="20">
        <v>45433.125</v>
      </c>
      <c r="B80" s="2">
        <v>1066</v>
      </c>
      <c r="C80" s="19" t="s">
        <v>269</v>
      </c>
      <c r="D80" s="19" t="s">
        <v>2</v>
      </c>
      <c r="E80" s="19" t="s">
        <v>2</v>
      </c>
      <c r="F80" s="19" t="s">
        <v>86</v>
      </c>
      <c r="G80" s="19" t="s">
        <v>94</v>
      </c>
      <c r="H80" s="19" t="s">
        <v>104</v>
      </c>
      <c r="I80" s="19" t="s">
        <v>366</v>
      </c>
      <c r="J80" s="2" t="s">
        <v>2</v>
      </c>
      <c r="K80" s="20">
        <v>45433.125</v>
      </c>
      <c r="L80" s="20"/>
      <c r="M80" s="22">
        <v>152</v>
      </c>
      <c r="N80" s="21">
        <v>137500</v>
      </c>
      <c r="O80" s="2" t="s">
        <v>3</v>
      </c>
      <c r="P80" s="2" t="s">
        <v>4</v>
      </c>
      <c r="Q80" s="2" t="s">
        <v>97</v>
      </c>
      <c r="R80" s="21">
        <f t="shared" si="9"/>
        <v>0</v>
      </c>
      <c r="S80" s="21">
        <v>0</v>
      </c>
      <c r="T80" s="5">
        <f t="shared" si="10"/>
        <v>0</v>
      </c>
      <c r="U80">
        <f t="shared" si="11"/>
        <v>5</v>
      </c>
      <c r="V80">
        <f t="shared" si="12"/>
        <v>5</v>
      </c>
      <c r="W80" s="5">
        <f t="shared" si="13"/>
        <v>0</v>
      </c>
      <c r="X80" s="2" t="s">
        <v>6</v>
      </c>
      <c r="Y80" s="2" t="s">
        <v>2</v>
      </c>
      <c r="AC80">
        <f t="shared" si="14"/>
        <v>2024</v>
      </c>
      <c r="AD80">
        <f t="shared" si="15"/>
        <v>2024</v>
      </c>
      <c r="AE80" t="str">
        <f t="shared" si="16"/>
        <v/>
      </c>
      <c r="AF80" t="str">
        <f t="shared" si="17"/>
        <v/>
      </c>
    </row>
    <row r="81" spans="1:32" x14ac:dyDescent="0.25">
      <c r="A81" s="20">
        <v>45441</v>
      </c>
      <c r="B81" s="2">
        <v>1067</v>
      </c>
      <c r="C81" s="19" t="s">
        <v>367</v>
      </c>
      <c r="D81" s="19" t="s">
        <v>2</v>
      </c>
      <c r="E81" s="19" t="s">
        <v>2</v>
      </c>
      <c r="F81" s="19" t="s">
        <v>368</v>
      </c>
      <c r="G81" s="19" t="s">
        <v>369</v>
      </c>
      <c r="H81" s="19" t="s">
        <v>370</v>
      </c>
      <c r="I81" s="19" t="s">
        <v>371</v>
      </c>
      <c r="J81" s="2" t="s">
        <v>2</v>
      </c>
      <c r="K81" s="20">
        <v>45441</v>
      </c>
      <c r="L81" s="20">
        <v>45446</v>
      </c>
      <c r="M81" s="22">
        <v>200</v>
      </c>
      <c r="N81" s="21">
        <v>186000</v>
      </c>
      <c r="O81" s="2" t="s">
        <v>76</v>
      </c>
      <c r="P81" s="2" t="s">
        <v>4</v>
      </c>
      <c r="Q81" s="2" t="s">
        <v>5</v>
      </c>
      <c r="R81" s="21">
        <f t="shared" si="9"/>
        <v>186000</v>
      </c>
      <c r="S81" s="21">
        <v>186000</v>
      </c>
      <c r="T81" s="5">
        <f t="shared" si="10"/>
        <v>0</v>
      </c>
      <c r="U81">
        <f t="shared" si="11"/>
        <v>5</v>
      </c>
      <c r="V81">
        <f t="shared" si="12"/>
        <v>5</v>
      </c>
      <c r="W81" s="5">
        <f t="shared" si="13"/>
        <v>0</v>
      </c>
      <c r="X81" s="2" t="s">
        <v>6</v>
      </c>
      <c r="Y81" s="2" t="s">
        <v>2</v>
      </c>
      <c r="Z81">
        <v>721</v>
      </c>
      <c r="AC81">
        <f t="shared" si="14"/>
        <v>2024</v>
      </c>
      <c r="AD81">
        <f t="shared" si="15"/>
        <v>2024</v>
      </c>
      <c r="AE81">
        <f t="shared" si="16"/>
        <v>2024</v>
      </c>
      <c r="AF81">
        <f t="shared" si="17"/>
        <v>6</v>
      </c>
    </row>
    <row r="82" spans="1:32" x14ac:dyDescent="0.25">
      <c r="A82" s="20">
        <v>45441</v>
      </c>
      <c r="B82" s="2">
        <v>1068</v>
      </c>
      <c r="C82" s="19" t="s">
        <v>372</v>
      </c>
      <c r="D82" s="19" t="s">
        <v>2</v>
      </c>
      <c r="E82" s="19" t="s">
        <v>2</v>
      </c>
      <c r="F82" s="19" t="s">
        <v>86</v>
      </c>
      <c r="G82" s="19" t="s">
        <v>351</v>
      </c>
      <c r="H82" s="19" t="s">
        <v>373</v>
      </c>
      <c r="I82" s="19" t="s">
        <v>374</v>
      </c>
      <c r="J82" s="2" t="s">
        <v>2</v>
      </c>
      <c r="K82" s="20">
        <v>45441</v>
      </c>
      <c r="L82" s="20">
        <v>45446</v>
      </c>
      <c r="M82" s="22">
        <v>166</v>
      </c>
      <c r="N82" s="21">
        <v>155000</v>
      </c>
      <c r="O82" s="2" t="s">
        <v>76</v>
      </c>
      <c r="P82" s="2" t="s">
        <v>4</v>
      </c>
      <c r="Q82" s="2" t="s">
        <v>5</v>
      </c>
      <c r="R82" s="21">
        <f t="shared" si="9"/>
        <v>155000</v>
      </c>
      <c r="S82" s="21">
        <v>155000</v>
      </c>
      <c r="T82" s="5">
        <f t="shared" si="10"/>
        <v>0</v>
      </c>
      <c r="U82">
        <f t="shared" si="11"/>
        <v>5</v>
      </c>
      <c r="V82">
        <f t="shared" si="12"/>
        <v>5</v>
      </c>
      <c r="W82" s="5">
        <f t="shared" si="13"/>
        <v>0</v>
      </c>
      <c r="X82" s="2" t="s">
        <v>6</v>
      </c>
      <c r="Y82" s="2" t="s">
        <v>2</v>
      </c>
      <c r="Z82">
        <v>722</v>
      </c>
      <c r="AC82">
        <f t="shared" si="14"/>
        <v>2024</v>
      </c>
      <c r="AD82">
        <f t="shared" si="15"/>
        <v>2024</v>
      </c>
      <c r="AE82">
        <f t="shared" si="16"/>
        <v>2024</v>
      </c>
      <c r="AF82">
        <f t="shared" si="17"/>
        <v>6</v>
      </c>
    </row>
    <row r="83" spans="1:32" x14ac:dyDescent="0.25">
      <c r="A83" s="20">
        <v>45442</v>
      </c>
      <c r="B83" s="2">
        <v>1069</v>
      </c>
      <c r="C83" s="19" t="s">
        <v>367</v>
      </c>
      <c r="D83" s="19" t="s">
        <v>2</v>
      </c>
      <c r="E83" s="19" t="s">
        <v>2</v>
      </c>
      <c r="F83" s="19" t="s">
        <v>375</v>
      </c>
      <c r="G83" s="19" t="s">
        <v>376</v>
      </c>
      <c r="H83" s="19" t="s">
        <v>377</v>
      </c>
      <c r="I83" s="19" t="s">
        <v>378</v>
      </c>
      <c r="J83" s="2" t="s">
        <v>2</v>
      </c>
      <c r="K83" s="20">
        <v>45446</v>
      </c>
      <c r="L83" s="20">
        <v>45446</v>
      </c>
      <c r="M83" s="22">
        <v>252</v>
      </c>
      <c r="N83" s="21">
        <v>235000</v>
      </c>
      <c r="O83" s="2" t="s">
        <v>76</v>
      </c>
      <c r="P83" s="2" t="s">
        <v>4</v>
      </c>
      <c r="Q83" s="2" t="s">
        <v>5</v>
      </c>
      <c r="R83" s="21">
        <f t="shared" si="9"/>
        <v>235000</v>
      </c>
      <c r="S83" s="21">
        <v>235000</v>
      </c>
      <c r="T83" s="5">
        <f t="shared" si="10"/>
        <v>0</v>
      </c>
      <c r="U83">
        <f t="shared" si="11"/>
        <v>6</v>
      </c>
      <c r="V83">
        <f t="shared" si="12"/>
        <v>5</v>
      </c>
      <c r="W83" s="5">
        <f t="shared" si="13"/>
        <v>0</v>
      </c>
      <c r="X83" s="2" t="s">
        <v>6</v>
      </c>
      <c r="Y83" s="2" t="s">
        <v>2</v>
      </c>
      <c r="Z83">
        <v>723</v>
      </c>
      <c r="AC83">
        <f t="shared" si="14"/>
        <v>2024</v>
      </c>
      <c r="AD83">
        <f t="shared" si="15"/>
        <v>2024</v>
      </c>
      <c r="AE83">
        <f t="shared" si="16"/>
        <v>2024</v>
      </c>
      <c r="AF83">
        <f t="shared" si="17"/>
        <v>6</v>
      </c>
    </row>
    <row r="84" spans="1:32" x14ac:dyDescent="0.25">
      <c r="A84" s="20">
        <v>45442</v>
      </c>
      <c r="B84" s="2">
        <v>1070</v>
      </c>
      <c r="C84" s="19" t="s">
        <v>379</v>
      </c>
      <c r="D84" s="19" t="s">
        <v>2</v>
      </c>
      <c r="E84" s="19" t="s">
        <v>2</v>
      </c>
      <c r="F84" s="19" t="s">
        <v>380</v>
      </c>
      <c r="G84" s="19" t="s">
        <v>381</v>
      </c>
      <c r="H84" s="19" t="s">
        <v>382</v>
      </c>
      <c r="I84" s="19" t="s">
        <v>383</v>
      </c>
      <c r="J84" s="2" t="s">
        <v>2</v>
      </c>
      <c r="K84" s="20">
        <v>45447</v>
      </c>
      <c r="L84" s="20">
        <v>45447</v>
      </c>
      <c r="M84" s="22">
        <v>210</v>
      </c>
      <c r="N84" s="21">
        <v>209000</v>
      </c>
      <c r="O84" s="2" t="s">
        <v>76</v>
      </c>
      <c r="P84" s="2" t="s">
        <v>145</v>
      </c>
      <c r="Q84" s="2" t="s">
        <v>146</v>
      </c>
      <c r="R84" s="21">
        <f t="shared" si="9"/>
        <v>0</v>
      </c>
      <c r="S84" s="21">
        <v>0</v>
      </c>
      <c r="T84" s="5">
        <f t="shared" si="10"/>
        <v>0</v>
      </c>
      <c r="U84">
        <f t="shared" si="11"/>
        <v>6</v>
      </c>
      <c r="V84">
        <f t="shared" si="12"/>
        <v>5</v>
      </c>
      <c r="W84" s="5">
        <f t="shared" si="13"/>
        <v>0</v>
      </c>
      <c r="X84" s="2" t="s">
        <v>6</v>
      </c>
      <c r="Y84" s="2" t="s">
        <v>2</v>
      </c>
      <c r="AC84">
        <f t="shared" si="14"/>
        <v>2024</v>
      </c>
      <c r="AD84">
        <f t="shared" si="15"/>
        <v>2024</v>
      </c>
      <c r="AE84">
        <f t="shared" si="16"/>
        <v>2024</v>
      </c>
      <c r="AF84">
        <f t="shared" si="17"/>
        <v>6</v>
      </c>
    </row>
    <row r="85" spans="1:32" x14ac:dyDescent="0.25">
      <c r="A85" s="20">
        <v>45443</v>
      </c>
      <c r="B85" s="2">
        <v>1071</v>
      </c>
      <c r="C85" s="19" t="s">
        <v>343</v>
      </c>
      <c r="D85" s="19" t="s">
        <v>2</v>
      </c>
      <c r="E85" s="19" t="s">
        <v>2</v>
      </c>
      <c r="F85" s="19" t="s">
        <v>384</v>
      </c>
      <c r="G85" s="19" t="s">
        <v>385</v>
      </c>
      <c r="H85" s="19" t="s">
        <v>386</v>
      </c>
      <c r="I85" s="19" t="s">
        <v>387</v>
      </c>
      <c r="J85" s="2" t="s">
        <v>2</v>
      </c>
      <c r="K85" s="20">
        <v>45443</v>
      </c>
      <c r="L85" s="20">
        <v>45446</v>
      </c>
      <c r="M85" s="22">
        <v>16</v>
      </c>
      <c r="N85" s="21">
        <v>15000</v>
      </c>
      <c r="O85" s="2" t="s">
        <v>3</v>
      </c>
      <c r="P85" s="2" t="s">
        <v>306</v>
      </c>
      <c r="Q85" s="2" t="s">
        <v>5</v>
      </c>
      <c r="R85" s="21">
        <f t="shared" si="9"/>
        <v>15000</v>
      </c>
      <c r="S85" s="21">
        <v>0</v>
      </c>
      <c r="T85" s="5">
        <f t="shared" si="10"/>
        <v>15000</v>
      </c>
      <c r="U85">
        <f t="shared" si="11"/>
        <v>5</v>
      </c>
      <c r="V85">
        <f t="shared" si="12"/>
        <v>5</v>
      </c>
      <c r="W85" s="5">
        <f t="shared" si="13"/>
        <v>-15000</v>
      </c>
      <c r="X85" s="2" t="s">
        <v>6</v>
      </c>
      <c r="Y85" s="2" t="s">
        <v>2</v>
      </c>
      <c r="AC85">
        <f t="shared" si="14"/>
        <v>2024</v>
      </c>
      <c r="AD85">
        <f t="shared" si="15"/>
        <v>2024</v>
      </c>
      <c r="AE85">
        <f t="shared" si="16"/>
        <v>2024</v>
      </c>
      <c r="AF85">
        <f t="shared" si="17"/>
        <v>6</v>
      </c>
    </row>
    <row r="86" spans="1:32" x14ac:dyDescent="0.25">
      <c r="A86" s="20">
        <v>45446</v>
      </c>
      <c r="B86" s="2">
        <v>1072</v>
      </c>
      <c r="C86" s="19" t="s">
        <v>372</v>
      </c>
      <c r="D86" s="19" t="s">
        <v>2</v>
      </c>
      <c r="E86" s="19" t="s">
        <v>2</v>
      </c>
      <c r="F86" s="19" t="s">
        <v>388</v>
      </c>
      <c r="G86" s="19" t="s">
        <v>351</v>
      </c>
      <c r="H86" s="19" t="s">
        <v>389</v>
      </c>
      <c r="I86" s="19" t="s">
        <v>390</v>
      </c>
      <c r="J86" s="2" t="s">
        <v>2</v>
      </c>
      <c r="K86" s="20">
        <v>45446</v>
      </c>
      <c r="L86" s="20">
        <v>45449</v>
      </c>
      <c r="M86" s="22">
        <v>182</v>
      </c>
      <c r="N86" s="21">
        <v>170000</v>
      </c>
      <c r="O86" s="2" t="s">
        <v>76</v>
      </c>
      <c r="P86" s="2" t="s">
        <v>4</v>
      </c>
      <c r="Q86" s="2" t="s">
        <v>5</v>
      </c>
      <c r="R86" s="21">
        <f t="shared" si="9"/>
        <v>170000</v>
      </c>
      <c r="S86" s="21">
        <v>170000</v>
      </c>
      <c r="T86" s="5">
        <f t="shared" si="10"/>
        <v>15000</v>
      </c>
      <c r="U86">
        <f t="shared" si="11"/>
        <v>6</v>
      </c>
      <c r="V86">
        <f t="shared" si="12"/>
        <v>6</v>
      </c>
      <c r="W86" s="5">
        <f t="shared" si="13"/>
        <v>0</v>
      </c>
      <c r="X86" s="2" t="s">
        <v>6</v>
      </c>
      <c r="Y86" s="2" t="s">
        <v>2</v>
      </c>
      <c r="Z86">
        <v>724</v>
      </c>
      <c r="AC86">
        <f t="shared" si="14"/>
        <v>2024</v>
      </c>
      <c r="AD86">
        <f t="shared" si="15"/>
        <v>2024</v>
      </c>
      <c r="AE86">
        <f t="shared" si="16"/>
        <v>2024</v>
      </c>
      <c r="AF86">
        <f t="shared" si="17"/>
        <v>6</v>
      </c>
    </row>
    <row r="87" spans="1:32" x14ac:dyDescent="0.25">
      <c r="A87" s="20">
        <v>45447.125</v>
      </c>
      <c r="B87" s="2">
        <v>1073</v>
      </c>
      <c r="C87" s="19" t="s">
        <v>206</v>
      </c>
      <c r="D87" s="19" t="s">
        <v>2</v>
      </c>
      <c r="E87" s="19" t="s">
        <v>2</v>
      </c>
      <c r="F87" s="19" t="s">
        <v>391</v>
      </c>
      <c r="G87" s="19" t="s">
        <v>392</v>
      </c>
      <c r="H87" s="19" t="s">
        <v>393</v>
      </c>
      <c r="I87" s="19" t="s">
        <v>394</v>
      </c>
      <c r="J87" s="2" t="s">
        <v>2</v>
      </c>
      <c r="K87" s="20">
        <v>45451.125</v>
      </c>
      <c r="L87" s="20">
        <v>45451.125</v>
      </c>
      <c r="M87" s="22">
        <v>230</v>
      </c>
      <c r="N87" s="21">
        <v>213900</v>
      </c>
      <c r="O87" s="2" t="s">
        <v>76</v>
      </c>
      <c r="P87" s="2" t="s">
        <v>4</v>
      </c>
      <c r="Q87" s="2" t="s">
        <v>5</v>
      </c>
      <c r="R87" s="21">
        <f t="shared" si="9"/>
        <v>213900</v>
      </c>
      <c r="S87" s="21">
        <v>213900</v>
      </c>
      <c r="T87" s="5">
        <f t="shared" si="10"/>
        <v>15000</v>
      </c>
      <c r="U87">
        <f t="shared" si="11"/>
        <v>6</v>
      </c>
      <c r="V87">
        <f t="shared" si="12"/>
        <v>6</v>
      </c>
      <c r="W87" s="5">
        <f t="shared" si="13"/>
        <v>0</v>
      </c>
      <c r="X87" s="2" t="s">
        <v>6</v>
      </c>
      <c r="Y87" s="2" t="s">
        <v>2</v>
      </c>
      <c r="Z87">
        <v>726</v>
      </c>
      <c r="AA87" t="s">
        <v>1531</v>
      </c>
      <c r="AC87">
        <f t="shared" si="14"/>
        <v>2024</v>
      </c>
      <c r="AD87">
        <f t="shared" si="15"/>
        <v>2024</v>
      </c>
      <c r="AE87">
        <f t="shared" si="16"/>
        <v>2024</v>
      </c>
      <c r="AF87">
        <f t="shared" si="17"/>
        <v>6</v>
      </c>
    </row>
    <row r="88" spans="1:32" x14ac:dyDescent="0.25">
      <c r="A88" s="20">
        <v>45448</v>
      </c>
      <c r="B88" s="2">
        <v>1074</v>
      </c>
      <c r="C88" s="19" t="s">
        <v>0</v>
      </c>
      <c r="D88" s="19" t="s">
        <v>111</v>
      </c>
      <c r="E88" s="19" t="s">
        <v>395</v>
      </c>
      <c r="F88" s="19" t="s">
        <v>167</v>
      </c>
      <c r="G88" s="19" t="s">
        <v>396</v>
      </c>
      <c r="H88" s="19" t="s">
        <v>397</v>
      </c>
      <c r="I88" s="19" t="s">
        <v>398</v>
      </c>
      <c r="J88" s="2" t="s">
        <v>2</v>
      </c>
      <c r="K88" s="20">
        <v>45448</v>
      </c>
      <c r="L88" s="20">
        <v>45463</v>
      </c>
      <c r="M88" s="22">
        <v>436</v>
      </c>
      <c r="N88" s="21">
        <v>409605</v>
      </c>
      <c r="O88" s="2" t="s">
        <v>76</v>
      </c>
      <c r="P88" s="2" t="s">
        <v>4</v>
      </c>
      <c r="Q88" s="2" t="s">
        <v>5</v>
      </c>
      <c r="R88" s="21">
        <f t="shared" si="9"/>
        <v>409605</v>
      </c>
      <c r="S88" s="21">
        <v>409605</v>
      </c>
      <c r="T88" s="5">
        <f t="shared" si="10"/>
        <v>15000</v>
      </c>
      <c r="U88">
        <f t="shared" si="11"/>
        <v>6</v>
      </c>
      <c r="V88">
        <f t="shared" si="12"/>
        <v>6</v>
      </c>
      <c r="W88" s="5">
        <f t="shared" si="13"/>
        <v>0</v>
      </c>
      <c r="X88" s="2" t="s">
        <v>6</v>
      </c>
      <c r="Y88" s="2" t="s">
        <v>2</v>
      </c>
      <c r="AA88" t="s">
        <v>1532</v>
      </c>
      <c r="AC88">
        <f t="shared" si="14"/>
        <v>2024</v>
      </c>
      <c r="AD88">
        <f t="shared" si="15"/>
        <v>2024</v>
      </c>
      <c r="AE88">
        <f t="shared" si="16"/>
        <v>2024</v>
      </c>
      <c r="AF88">
        <f t="shared" si="17"/>
        <v>6</v>
      </c>
    </row>
    <row r="89" spans="1:32" x14ac:dyDescent="0.25">
      <c r="A89" s="20">
        <v>45450</v>
      </c>
      <c r="B89" s="2">
        <v>1075</v>
      </c>
      <c r="C89" s="19" t="s">
        <v>535</v>
      </c>
      <c r="D89" s="19" t="s">
        <v>2</v>
      </c>
      <c r="E89" s="19" t="s">
        <v>2</v>
      </c>
      <c r="F89" s="19" t="s">
        <v>399</v>
      </c>
      <c r="G89" s="19" t="s">
        <v>94</v>
      </c>
      <c r="H89" s="19" t="s">
        <v>270</v>
      </c>
      <c r="I89" s="19" t="s">
        <v>400</v>
      </c>
      <c r="J89" s="2" t="s">
        <v>2</v>
      </c>
      <c r="K89" s="20">
        <v>45451</v>
      </c>
      <c r="L89" s="20">
        <v>45451</v>
      </c>
      <c r="M89" s="22">
        <v>170</v>
      </c>
      <c r="N89" s="21">
        <v>142000</v>
      </c>
      <c r="O89" s="2" t="s">
        <v>76</v>
      </c>
      <c r="P89" s="2" t="s">
        <v>4</v>
      </c>
      <c r="Q89" s="2" t="s">
        <v>5</v>
      </c>
      <c r="R89" s="21">
        <f t="shared" si="9"/>
        <v>142000</v>
      </c>
      <c r="S89" s="21">
        <v>142000</v>
      </c>
      <c r="T89" s="5">
        <f t="shared" si="10"/>
        <v>15000</v>
      </c>
      <c r="U89">
        <f t="shared" si="11"/>
        <v>6</v>
      </c>
      <c r="V89">
        <f t="shared" si="12"/>
        <v>6</v>
      </c>
      <c r="W89" s="5">
        <f t="shared" si="13"/>
        <v>0</v>
      </c>
      <c r="X89" s="2" t="s">
        <v>6</v>
      </c>
      <c r="Y89" s="2" t="s">
        <v>2</v>
      </c>
      <c r="Z89">
        <v>725</v>
      </c>
      <c r="AC89">
        <f t="shared" si="14"/>
        <v>2024</v>
      </c>
      <c r="AD89">
        <f t="shared" si="15"/>
        <v>2024</v>
      </c>
      <c r="AE89">
        <f t="shared" si="16"/>
        <v>2024</v>
      </c>
      <c r="AF89">
        <f t="shared" si="17"/>
        <v>6</v>
      </c>
    </row>
    <row r="90" spans="1:32" x14ac:dyDescent="0.25">
      <c r="A90" s="20">
        <v>45450.125</v>
      </c>
      <c r="B90" s="2">
        <v>1076</v>
      </c>
      <c r="C90" s="19" t="s">
        <v>401</v>
      </c>
      <c r="D90" s="19" t="s">
        <v>2</v>
      </c>
      <c r="E90" s="19" t="s">
        <v>2</v>
      </c>
      <c r="F90" s="19" t="s">
        <v>1533</v>
      </c>
      <c r="G90" s="19" t="s">
        <v>402</v>
      </c>
      <c r="H90" s="19" t="s">
        <v>403</v>
      </c>
      <c r="I90" s="19" t="s">
        <v>404</v>
      </c>
      <c r="J90" s="2" t="s">
        <v>2</v>
      </c>
      <c r="K90" s="20">
        <v>45457.125</v>
      </c>
      <c r="L90" s="20">
        <v>45451.125</v>
      </c>
      <c r="M90" s="22">
        <v>85</v>
      </c>
      <c r="N90" s="21">
        <v>86500</v>
      </c>
      <c r="O90" s="2" t="s">
        <v>76</v>
      </c>
      <c r="P90" s="2" t="s">
        <v>4</v>
      </c>
      <c r="Q90" s="2" t="s">
        <v>5</v>
      </c>
      <c r="R90" s="21">
        <f t="shared" si="9"/>
        <v>86500</v>
      </c>
      <c r="S90" s="21">
        <v>86500</v>
      </c>
      <c r="T90" s="5">
        <f t="shared" si="10"/>
        <v>15000</v>
      </c>
      <c r="U90">
        <f t="shared" si="11"/>
        <v>6</v>
      </c>
      <c r="V90">
        <f t="shared" si="12"/>
        <v>6</v>
      </c>
      <c r="W90" s="5">
        <f t="shared" si="13"/>
        <v>0</v>
      </c>
      <c r="X90" s="2" t="s">
        <v>6</v>
      </c>
      <c r="Y90" s="2" t="s">
        <v>2</v>
      </c>
      <c r="Z90">
        <v>727</v>
      </c>
      <c r="AA90" t="s">
        <v>1500</v>
      </c>
      <c r="AC90">
        <f t="shared" si="14"/>
        <v>2024</v>
      </c>
      <c r="AD90">
        <f t="shared" si="15"/>
        <v>2024</v>
      </c>
      <c r="AE90">
        <f t="shared" si="16"/>
        <v>2024</v>
      </c>
      <c r="AF90">
        <f t="shared" si="17"/>
        <v>6</v>
      </c>
    </row>
    <row r="91" spans="1:32" x14ac:dyDescent="0.25">
      <c r="A91" s="20">
        <v>45451</v>
      </c>
      <c r="B91" s="2">
        <v>1077</v>
      </c>
      <c r="C91" s="19" t="s">
        <v>405</v>
      </c>
      <c r="D91" s="19" t="s">
        <v>2</v>
      </c>
      <c r="E91" s="19" t="s">
        <v>2</v>
      </c>
      <c r="F91" s="19" t="s">
        <v>406</v>
      </c>
      <c r="G91" s="19" t="s">
        <v>407</v>
      </c>
      <c r="H91" s="19" t="s">
        <v>408</v>
      </c>
      <c r="I91" s="19" t="s">
        <v>409</v>
      </c>
      <c r="J91" s="2" t="s">
        <v>2</v>
      </c>
      <c r="K91" s="20">
        <v>45456</v>
      </c>
      <c r="L91" s="20">
        <v>45454</v>
      </c>
      <c r="M91" s="22">
        <v>250</v>
      </c>
      <c r="N91" s="21">
        <v>235000</v>
      </c>
      <c r="O91" s="2" t="s">
        <v>76</v>
      </c>
      <c r="P91" s="2" t="s">
        <v>4</v>
      </c>
      <c r="Q91" s="2" t="s">
        <v>5</v>
      </c>
      <c r="R91" s="21">
        <f t="shared" si="9"/>
        <v>235000</v>
      </c>
      <c r="S91" s="21">
        <v>235000</v>
      </c>
      <c r="T91" s="5">
        <f t="shared" si="10"/>
        <v>15000</v>
      </c>
      <c r="U91">
        <f t="shared" si="11"/>
        <v>6</v>
      </c>
      <c r="V91">
        <f t="shared" si="12"/>
        <v>6</v>
      </c>
      <c r="W91" s="5">
        <f t="shared" si="13"/>
        <v>0</v>
      </c>
      <c r="X91" s="2" t="s">
        <v>6</v>
      </c>
      <c r="Y91" s="2" t="s">
        <v>2</v>
      </c>
      <c r="AC91">
        <f t="shared" si="14"/>
        <v>2024</v>
      </c>
      <c r="AD91">
        <f t="shared" si="15"/>
        <v>2024</v>
      </c>
      <c r="AE91">
        <f t="shared" si="16"/>
        <v>2024</v>
      </c>
      <c r="AF91">
        <f t="shared" si="17"/>
        <v>6</v>
      </c>
    </row>
    <row r="92" spans="1:32" x14ac:dyDescent="0.25">
      <c r="A92" s="20">
        <v>45453</v>
      </c>
      <c r="B92" s="2">
        <v>1078</v>
      </c>
      <c r="C92" s="19" t="s">
        <v>410</v>
      </c>
      <c r="D92" s="19" t="s">
        <v>2</v>
      </c>
      <c r="E92" s="19" t="s">
        <v>2</v>
      </c>
      <c r="F92" s="19" t="s">
        <v>256</v>
      </c>
      <c r="G92" s="19" t="s">
        <v>107</v>
      </c>
      <c r="H92" s="19" t="s">
        <v>257</v>
      </c>
      <c r="I92" s="19" t="s">
        <v>411</v>
      </c>
      <c r="J92" s="2" t="s">
        <v>2</v>
      </c>
      <c r="K92" s="20">
        <v>45476</v>
      </c>
      <c r="L92" s="20">
        <v>45454</v>
      </c>
      <c r="M92" s="22">
        <v>100</v>
      </c>
      <c r="N92" s="21">
        <v>95000</v>
      </c>
      <c r="O92" s="2" t="s">
        <v>76</v>
      </c>
      <c r="P92" s="2" t="s">
        <v>4</v>
      </c>
      <c r="Q92" s="2" t="s">
        <v>5</v>
      </c>
      <c r="R92" s="21">
        <f t="shared" si="9"/>
        <v>95000</v>
      </c>
      <c r="S92" s="21">
        <v>95000</v>
      </c>
      <c r="T92" s="5">
        <f t="shared" si="10"/>
        <v>15000</v>
      </c>
      <c r="U92">
        <f t="shared" si="11"/>
        <v>7</v>
      </c>
      <c r="V92">
        <f t="shared" si="12"/>
        <v>6</v>
      </c>
      <c r="W92" s="5">
        <f t="shared" si="13"/>
        <v>0</v>
      </c>
      <c r="X92" s="2" t="s">
        <v>6</v>
      </c>
      <c r="Y92" s="2" t="s">
        <v>2</v>
      </c>
      <c r="Z92">
        <v>732</v>
      </c>
      <c r="AC92">
        <f t="shared" si="14"/>
        <v>2024</v>
      </c>
      <c r="AD92">
        <f t="shared" si="15"/>
        <v>2024</v>
      </c>
      <c r="AE92">
        <f t="shared" si="16"/>
        <v>2024</v>
      </c>
      <c r="AF92">
        <f t="shared" si="17"/>
        <v>6</v>
      </c>
    </row>
    <row r="93" spans="1:32" x14ac:dyDescent="0.25">
      <c r="A93" s="20">
        <v>45454</v>
      </c>
      <c r="B93" s="2">
        <v>1079</v>
      </c>
      <c r="C93" s="19" t="s">
        <v>135</v>
      </c>
      <c r="D93" s="19" t="s">
        <v>2</v>
      </c>
      <c r="E93" s="19" t="s">
        <v>2</v>
      </c>
      <c r="F93" s="19" t="s">
        <v>412</v>
      </c>
      <c r="G93" s="19" t="s">
        <v>413</v>
      </c>
      <c r="H93" s="19" t="s">
        <v>414</v>
      </c>
      <c r="I93" s="19" t="s">
        <v>415</v>
      </c>
      <c r="J93" s="2" t="s">
        <v>2</v>
      </c>
      <c r="K93" s="20">
        <v>45454</v>
      </c>
      <c r="L93" s="20">
        <v>45454</v>
      </c>
      <c r="M93" s="22">
        <v>50</v>
      </c>
      <c r="N93" s="21">
        <v>53000</v>
      </c>
      <c r="O93" s="2" t="s">
        <v>76</v>
      </c>
      <c r="P93" s="2" t="s">
        <v>4</v>
      </c>
      <c r="Q93" s="2" t="s">
        <v>5</v>
      </c>
      <c r="R93" s="21">
        <f t="shared" si="9"/>
        <v>53000</v>
      </c>
      <c r="S93" s="21">
        <v>53000</v>
      </c>
      <c r="T93" s="5">
        <f t="shared" si="10"/>
        <v>15000</v>
      </c>
      <c r="U93">
        <f t="shared" si="11"/>
        <v>6</v>
      </c>
      <c r="V93">
        <f t="shared" si="12"/>
        <v>6</v>
      </c>
      <c r="W93" s="5">
        <f t="shared" si="13"/>
        <v>0</v>
      </c>
      <c r="X93" s="2" t="s">
        <v>6</v>
      </c>
      <c r="Y93" s="2" t="s">
        <v>2</v>
      </c>
      <c r="AC93">
        <f t="shared" si="14"/>
        <v>2024</v>
      </c>
      <c r="AD93">
        <f t="shared" si="15"/>
        <v>2024</v>
      </c>
      <c r="AE93">
        <f t="shared" si="16"/>
        <v>2024</v>
      </c>
      <c r="AF93">
        <f t="shared" si="17"/>
        <v>6</v>
      </c>
    </row>
    <row r="94" spans="1:32" x14ac:dyDescent="0.25">
      <c r="A94" s="20">
        <v>45454</v>
      </c>
      <c r="B94" s="2">
        <v>1080</v>
      </c>
      <c r="C94" s="19" t="s">
        <v>416</v>
      </c>
      <c r="D94" s="19" t="s">
        <v>2</v>
      </c>
      <c r="E94" s="19" t="s">
        <v>2</v>
      </c>
      <c r="F94" s="19" t="s">
        <v>211</v>
      </c>
      <c r="G94" s="19" t="s">
        <v>417</v>
      </c>
      <c r="H94" s="19" t="s">
        <v>418</v>
      </c>
      <c r="I94" s="19" t="s">
        <v>419</v>
      </c>
      <c r="J94" s="2" t="s">
        <v>2</v>
      </c>
      <c r="K94" s="20">
        <v>45456</v>
      </c>
      <c r="L94" s="20">
        <v>45456</v>
      </c>
      <c r="M94" s="22">
        <v>121</v>
      </c>
      <c r="N94" s="21">
        <v>115000</v>
      </c>
      <c r="O94" s="2" t="s">
        <v>76</v>
      </c>
      <c r="P94" s="2" t="s">
        <v>145</v>
      </c>
      <c r="Q94" s="2" t="s">
        <v>146</v>
      </c>
      <c r="R94" s="21">
        <f t="shared" si="9"/>
        <v>0</v>
      </c>
      <c r="S94" s="21">
        <v>0</v>
      </c>
      <c r="T94" s="5">
        <f t="shared" si="10"/>
        <v>15000</v>
      </c>
      <c r="U94">
        <f t="shared" si="11"/>
        <v>6</v>
      </c>
      <c r="V94">
        <f t="shared" si="12"/>
        <v>6</v>
      </c>
      <c r="W94" s="5">
        <f t="shared" si="13"/>
        <v>0</v>
      </c>
      <c r="X94" s="2" t="s">
        <v>6</v>
      </c>
      <c r="Y94" s="2" t="s">
        <v>2</v>
      </c>
      <c r="AC94">
        <f t="shared" si="14"/>
        <v>2024</v>
      </c>
      <c r="AD94">
        <f t="shared" si="15"/>
        <v>2024</v>
      </c>
      <c r="AE94">
        <f t="shared" si="16"/>
        <v>2024</v>
      </c>
      <c r="AF94">
        <f t="shared" si="17"/>
        <v>6</v>
      </c>
    </row>
    <row r="95" spans="1:32" x14ac:dyDescent="0.25">
      <c r="A95" s="20">
        <v>45455</v>
      </c>
      <c r="B95" s="2">
        <v>1081</v>
      </c>
      <c r="C95" s="19" t="s">
        <v>416</v>
      </c>
      <c r="D95" s="19" t="s">
        <v>2</v>
      </c>
      <c r="E95" s="19" t="s">
        <v>2</v>
      </c>
      <c r="F95" s="19" t="s">
        <v>420</v>
      </c>
      <c r="G95" s="19" t="s">
        <v>417</v>
      </c>
      <c r="H95" s="19" t="s">
        <v>421</v>
      </c>
      <c r="I95" s="19" t="s">
        <v>422</v>
      </c>
      <c r="J95" s="2" t="s">
        <v>2</v>
      </c>
      <c r="K95" s="20">
        <v>45456</v>
      </c>
      <c r="L95" s="20">
        <v>45456</v>
      </c>
      <c r="M95" s="22">
        <v>115</v>
      </c>
      <c r="N95" s="21">
        <v>110000</v>
      </c>
      <c r="O95" s="2" t="s">
        <v>76</v>
      </c>
      <c r="P95" s="2" t="s">
        <v>145</v>
      </c>
      <c r="Q95" s="2" t="s">
        <v>146</v>
      </c>
      <c r="R95" s="21">
        <f t="shared" si="9"/>
        <v>0</v>
      </c>
      <c r="S95" s="21">
        <v>0</v>
      </c>
      <c r="T95" s="5">
        <f t="shared" si="10"/>
        <v>15000</v>
      </c>
      <c r="U95">
        <f t="shared" si="11"/>
        <v>6</v>
      </c>
      <c r="V95">
        <f t="shared" si="12"/>
        <v>6</v>
      </c>
      <c r="W95" s="5">
        <f t="shared" si="13"/>
        <v>0</v>
      </c>
      <c r="X95" s="2" t="s">
        <v>6</v>
      </c>
      <c r="Y95" s="2" t="s">
        <v>2</v>
      </c>
      <c r="AC95">
        <f t="shared" si="14"/>
        <v>2024</v>
      </c>
      <c r="AD95">
        <f t="shared" si="15"/>
        <v>2024</v>
      </c>
      <c r="AE95">
        <f t="shared" si="16"/>
        <v>2024</v>
      </c>
      <c r="AF95">
        <f t="shared" si="17"/>
        <v>6</v>
      </c>
    </row>
    <row r="96" spans="1:32" x14ac:dyDescent="0.25">
      <c r="A96" s="20">
        <v>45455</v>
      </c>
      <c r="B96" s="2">
        <v>1082</v>
      </c>
      <c r="C96" s="19" t="s">
        <v>297</v>
      </c>
      <c r="D96" s="19" t="s">
        <v>2</v>
      </c>
      <c r="E96" s="19" t="s">
        <v>2</v>
      </c>
      <c r="F96" s="19" t="s">
        <v>423</v>
      </c>
      <c r="G96" s="19" t="s">
        <v>351</v>
      </c>
      <c r="H96" s="19" t="s">
        <v>424</v>
      </c>
      <c r="I96" s="19" t="s">
        <v>425</v>
      </c>
      <c r="J96" s="2" t="s">
        <v>2</v>
      </c>
      <c r="K96" s="20">
        <v>45481</v>
      </c>
      <c r="L96" s="20">
        <v>45461</v>
      </c>
      <c r="M96" s="22">
        <v>210</v>
      </c>
      <c r="N96" s="21">
        <v>195400</v>
      </c>
      <c r="O96" s="2" t="s">
        <v>76</v>
      </c>
      <c r="P96" s="2" t="s">
        <v>4</v>
      </c>
      <c r="Q96" s="2" t="s">
        <v>5</v>
      </c>
      <c r="R96" s="21">
        <f t="shared" si="9"/>
        <v>195400</v>
      </c>
      <c r="S96" s="21">
        <v>195400</v>
      </c>
      <c r="T96" s="5">
        <f t="shared" si="10"/>
        <v>15000</v>
      </c>
      <c r="U96">
        <f t="shared" si="11"/>
        <v>7</v>
      </c>
      <c r="V96">
        <f t="shared" si="12"/>
        <v>6</v>
      </c>
      <c r="W96" s="5">
        <f t="shared" si="13"/>
        <v>0</v>
      </c>
      <c r="X96" s="2" t="s">
        <v>6</v>
      </c>
      <c r="Y96" s="2" t="s">
        <v>2</v>
      </c>
      <c r="Z96">
        <v>734</v>
      </c>
      <c r="AC96">
        <f t="shared" si="14"/>
        <v>2024</v>
      </c>
      <c r="AD96">
        <f t="shared" si="15"/>
        <v>2024</v>
      </c>
      <c r="AE96">
        <f t="shared" si="16"/>
        <v>2024</v>
      </c>
      <c r="AF96">
        <f t="shared" si="17"/>
        <v>6</v>
      </c>
    </row>
    <row r="97" spans="1:32" x14ac:dyDescent="0.25">
      <c r="A97" s="20">
        <v>45457</v>
      </c>
      <c r="B97" s="2">
        <v>1083</v>
      </c>
      <c r="C97" s="19" t="s">
        <v>426</v>
      </c>
      <c r="D97" s="19" t="s">
        <v>2</v>
      </c>
      <c r="E97" s="19" t="s">
        <v>2</v>
      </c>
      <c r="F97" s="19" t="s">
        <v>186</v>
      </c>
      <c r="G97" s="19" t="s">
        <v>427</v>
      </c>
      <c r="H97" s="19" t="s">
        <v>428</v>
      </c>
      <c r="I97" s="19" t="s">
        <v>429</v>
      </c>
      <c r="J97" s="2" t="s">
        <v>2</v>
      </c>
      <c r="K97" s="20">
        <v>45457</v>
      </c>
      <c r="L97" s="20">
        <v>45457</v>
      </c>
      <c r="M97" s="22">
        <v>90</v>
      </c>
      <c r="N97" s="21">
        <v>88000</v>
      </c>
      <c r="O97" s="2" t="s">
        <v>76</v>
      </c>
      <c r="P97" s="2" t="s">
        <v>4</v>
      </c>
      <c r="Q97" s="2" t="s">
        <v>5</v>
      </c>
      <c r="R97" s="21">
        <f t="shared" si="9"/>
        <v>88000</v>
      </c>
      <c r="S97" s="21">
        <v>88000</v>
      </c>
      <c r="T97" s="5">
        <f t="shared" si="10"/>
        <v>15000</v>
      </c>
      <c r="U97">
        <f t="shared" si="11"/>
        <v>6</v>
      </c>
      <c r="V97">
        <f t="shared" si="12"/>
        <v>6</v>
      </c>
      <c r="W97" s="5">
        <f t="shared" si="13"/>
        <v>0</v>
      </c>
      <c r="X97" s="2" t="s">
        <v>6</v>
      </c>
      <c r="Y97" s="2" t="s">
        <v>2</v>
      </c>
      <c r="Z97">
        <v>728</v>
      </c>
      <c r="AC97">
        <f t="shared" si="14"/>
        <v>2024</v>
      </c>
      <c r="AD97">
        <f t="shared" si="15"/>
        <v>2024</v>
      </c>
      <c r="AE97">
        <f t="shared" si="16"/>
        <v>2024</v>
      </c>
      <c r="AF97">
        <f t="shared" si="17"/>
        <v>6</v>
      </c>
    </row>
    <row r="98" spans="1:32" x14ac:dyDescent="0.25">
      <c r="A98" s="20">
        <v>45461</v>
      </c>
      <c r="B98" s="2">
        <v>1084</v>
      </c>
      <c r="C98" s="19" t="s">
        <v>372</v>
      </c>
      <c r="D98" s="19" t="s">
        <v>2</v>
      </c>
      <c r="E98" s="19" t="s">
        <v>2</v>
      </c>
      <c r="F98" s="19" t="s">
        <v>399</v>
      </c>
      <c r="G98" s="19" t="s">
        <v>351</v>
      </c>
      <c r="H98" s="19" t="s">
        <v>430</v>
      </c>
      <c r="I98" s="19" t="s">
        <v>431</v>
      </c>
      <c r="J98" s="2" t="s">
        <v>2</v>
      </c>
      <c r="K98" s="20">
        <v>45461</v>
      </c>
      <c r="L98" s="20">
        <v>45476</v>
      </c>
      <c r="M98" s="22">
        <v>125</v>
      </c>
      <c r="N98" s="21">
        <v>120000</v>
      </c>
      <c r="O98" s="2" t="s">
        <v>76</v>
      </c>
      <c r="P98" s="2" t="s">
        <v>4</v>
      </c>
      <c r="Q98" s="2" t="s">
        <v>5</v>
      </c>
      <c r="R98" s="21">
        <f t="shared" si="9"/>
        <v>120000</v>
      </c>
      <c r="S98" s="21">
        <v>120000</v>
      </c>
      <c r="T98" s="5">
        <f t="shared" si="10"/>
        <v>15000</v>
      </c>
      <c r="U98">
        <f t="shared" si="11"/>
        <v>6</v>
      </c>
      <c r="V98">
        <f t="shared" si="12"/>
        <v>6</v>
      </c>
      <c r="W98" s="5">
        <f t="shared" si="13"/>
        <v>0</v>
      </c>
      <c r="X98" s="2" t="s">
        <v>6</v>
      </c>
      <c r="Y98" s="2" t="s">
        <v>2</v>
      </c>
      <c r="Z98">
        <v>733</v>
      </c>
      <c r="AC98">
        <f t="shared" si="14"/>
        <v>2024</v>
      </c>
      <c r="AD98">
        <f t="shared" si="15"/>
        <v>2024</v>
      </c>
      <c r="AE98">
        <f t="shared" si="16"/>
        <v>2024</v>
      </c>
      <c r="AF98">
        <f t="shared" si="17"/>
        <v>7</v>
      </c>
    </row>
    <row r="99" spans="1:32" x14ac:dyDescent="0.25">
      <c r="A99" s="20">
        <v>45461</v>
      </c>
      <c r="B99" s="2">
        <v>1085</v>
      </c>
      <c r="C99" s="19" t="s">
        <v>372</v>
      </c>
      <c r="D99" s="19" t="s">
        <v>2</v>
      </c>
      <c r="E99" s="19" t="s">
        <v>2</v>
      </c>
      <c r="F99" s="19" t="s">
        <v>399</v>
      </c>
      <c r="G99" s="19" t="s">
        <v>351</v>
      </c>
      <c r="H99" s="19" t="s">
        <v>430</v>
      </c>
      <c r="I99" s="19" t="s">
        <v>432</v>
      </c>
      <c r="J99" s="2" t="s">
        <v>2</v>
      </c>
      <c r="K99" s="20">
        <v>45461</v>
      </c>
      <c r="L99" s="20">
        <v>45476</v>
      </c>
      <c r="M99" s="22">
        <v>125</v>
      </c>
      <c r="N99" s="21">
        <v>120000</v>
      </c>
      <c r="O99" s="2" t="s">
        <v>76</v>
      </c>
      <c r="P99" s="2" t="s">
        <v>4</v>
      </c>
      <c r="Q99" s="2" t="s">
        <v>5</v>
      </c>
      <c r="R99" s="21">
        <f t="shared" si="9"/>
        <v>120000</v>
      </c>
      <c r="S99" s="21">
        <v>120000</v>
      </c>
      <c r="T99" s="5">
        <f t="shared" si="10"/>
        <v>15000</v>
      </c>
      <c r="U99">
        <f t="shared" si="11"/>
        <v>6</v>
      </c>
      <c r="V99">
        <f t="shared" si="12"/>
        <v>6</v>
      </c>
      <c r="W99" s="5">
        <f t="shared" si="13"/>
        <v>0</v>
      </c>
      <c r="X99" s="2" t="s">
        <v>6</v>
      </c>
      <c r="Y99" s="2" t="s">
        <v>2</v>
      </c>
      <c r="Z99">
        <v>733</v>
      </c>
      <c r="AC99">
        <f t="shared" si="14"/>
        <v>2024</v>
      </c>
      <c r="AD99">
        <f t="shared" si="15"/>
        <v>2024</v>
      </c>
      <c r="AE99">
        <f t="shared" si="16"/>
        <v>2024</v>
      </c>
      <c r="AF99">
        <f t="shared" si="17"/>
        <v>7</v>
      </c>
    </row>
    <row r="100" spans="1:32" x14ac:dyDescent="0.25">
      <c r="A100" s="20">
        <v>45463</v>
      </c>
      <c r="B100" s="2">
        <v>1086</v>
      </c>
      <c r="C100" s="19" t="s">
        <v>433</v>
      </c>
      <c r="D100" s="19" t="s">
        <v>2</v>
      </c>
      <c r="E100" s="19" t="s">
        <v>2</v>
      </c>
      <c r="F100" s="19" t="s">
        <v>434</v>
      </c>
      <c r="G100" s="19" t="s">
        <v>435</v>
      </c>
      <c r="H100" s="19" t="s">
        <v>436</v>
      </c>
      <c r="I100" s="19" t="s">
        <v>437</v>
      </c>
      <c r="J100" s="2" t="s">
        <v>2</v>
      </c>
      <c r="K100" s="20">
        <v>45463</v>
      </c>
      <c r="L100" s="20">
        <v>45466</v>
      </c>
      <c r="M100" s="22">
        <v>104</v>
      </c>
      <c r="N100" s="21">
        <v>99500</v>
      </c>
      <c r="O100" s="2" t="s">
        <v>76</v>
      </c>
      <c r="P100" s="2" t="s">
        <v>4</v>
      </c>
      <c r="Q100" s="2" t="s">
        <v>5</v>
      </c>
      <c r="R100" s="21">
        <f t="shared" si="9"/>
        <v>99500</v>
      </c>
      <c r="S100" s="21">
        <v>99500</v>
      </c>
      <c r="T100" s="5">
        <f t="shared" si="10"/>
        <v>15000</v>
      </c>
      <c r="U100">
        <f t="shared" si="11"/>
        <v>6</v>
      </c>
      <c r="V100">
        <f t="shared" si="12"/>
        <v>6</v>
      </c>
      <c r="W100" s="5">
        <f t="shared" si="13"/>
        <v>0</v>
      </c>
      <c r="X100" s="2" t="s">
        <v>6</v>
      </c>
      <c r="Y100" s="2" t="s">
        <v>2</v>
      </c>
      <c r="Z100">
        <v>731</v>
      </c>
      <c r="AC100">
        <f t="shared" si="14"/>
        <v>2024</v>
      </c>
      <c r="AD100">
        <f t="shared" si="15"/>
        <v>2024</v>
      </c>
      <c r="AE100">
        <f t="shared" si="16"/>
        <v>2024</v>
      </c>
      <c r="AF100">
        <f t="shared" si="17"/>
        <v>6</v>
      </c>
    </row>
    <row r="101" spans="1:32" x14ac:dyDescent="0.25">
      <c r="A101" s="20">
        <v>45467</v>
      </c>
      <c r="B101" s="2">
        <v>1087</v>
      </c>
      <c r="C101" s="19" t="s">
        <v>218</v>
      </c>
      <c r="D101" s="19" t="s">
        <v>2</v>
      </c>
      <c r="E101" s="19" t="s">
        <v>2</v>
      </c>
      <c r="F101" s="19" t="s">
        <v>438</v>
      </c>
      <c r="G101" s="19" t="s">
        <v>439</v>
      </c>
      <c r="H101" s="19" t="s">
        <v>440</v>
      </c>
      <c r="I101" s="19" t="s">
        <v>441</v>
      </c>
      <c r="J101" s="2" t="s">
        <v>2</v>
      </c>
      <c r="K101" s="20">
        <v>45484</v>
      </c>
      <c r="L101" s="20">
        <v>45469</v>
      </c>
      <c r="M101" s="22">
        <v>865</v>
      </c>
      <c r="N101" s="21">
        <v>821750</v>
      </c>
      <c r="O101" s="2" t="s">
        <v>76</v>
      </c>
      <c r="P101" s="2" t="s">
        <v>4</v>
      </c>
      <c r="Q101" s="2" t="s">
        <v>5</v>
      </c>
      <c r="R101" s="21">
        <f t="shared" si="9"/>
        <v>821750</v>
      </c>
      <c r="S101" s="21">
        <v>821750</v>
      </c>
      <c r="T101" s="5">
        <f t="shared" si="10"/>
        <v>15000</v>
      </c>
      <c r="U101">
        <f t="shared" si="11"/>
        <v>7</v>
      </c>
      <c r="V101">
        <f t="shared" si="12"/>
        <v>6</v>
      </c>
      <c r="W101" s="5">
        <f t="shared" si="13"/>
        <v>0</v>
      </c>
      <c r="X101" s="2" t="s">
        <v>6</v>
      </c>
      <c r="Y101" s="2" t="s">
        <v>2</v>
      </c>
      <c r="Z101">
        <v>738</v>
      </c>
      <c r="AC101">
        <f t="shared" si="14"/>
        <v>2024</v>
      </c>
      <c r="AD101">
        <f t="shared" si="15"/>
        <v>2024</v>
      </c>
      <c r="AE101">
        <f t="shared" si="16"/>
        <v>2024</v>
      </c>
      <c r="AF101">
        <f t="shared" si="17"/>
        <v>6</v>
      </c>
    </row>
    <row r="102" spans="1:32" x14ac:dyDescent="0.25">
      <c r="A102" s="20">
        <v>45468</v>
      </c>
      <c r="B102" s="2">
        <v>1088</v>
      </c>
      <c r="C102" s="19" t="s">
        <v>1</v>
      </c>
      <c r="D102" s="19" t="s">
        <v>2</v>
      </c>
      <c r="E102" s="19" t="s">
        <v>2</v>
      </c>
      <c r="F102" s="19" t="s">
        <v>136</v>
      </c>
      <c r="G102" s="19" t="s">
        <v>137</v>
      </c>
      <c r="H102" s="19" t="s">
        <v>138</v>
      </c>
      <c r="I102" s="19" t="s">
        <v>442</v>
      </c>
      <c r="J102" s="2" t="s">
        <v>2</v>
      </c>
      <c r="K102" s="20">
        <v>45468</v>
      </c>
      <c r="L102" s="20">
        <v>45470</v>
      </c>
      <c r="M102" s="22">
        <v>110</v>
      </c>
      <c r="N102" s="21">
        <v>118750</v>
      </c>
      <c r="O102" s="2" t="s">
        <v>76</v>
      </c>
      <c r="P102" s="2" t="s">
        <v>4</v>
      </c>
      <c r="Q102" s="2" t="s">
        <v>5</v>
      </c>
      <c r="R102" s="21">
        <f t="shared" si="9"/>
        <v>118750</v>
      </c>
      <c r="S102" s="21">
        <v>118750</v>
      </c>
      <c r="T102" s="5">
        <f t="shared" si="10"/>
        <v>15000</v>
      </c>
      <c r="U102">
        <f t="shared" si="11"/>
        <v>6</v>
      </c>
      <c r="V102">
        <f t="shared" si="12"/>
        <v>6</v>
      </c>
      <c r="W102" s="5">
        <f t="shared" si="13"/>
        <v>0</v>
      </c>
      <c r="X102" s="2" t="s">
        <v>6</v>
      </c>
      <c r="Y102" s="2" t="s">
        <v>2</v>
      </c>
      <c r="Z102">
        <v>730</v>
      </c>
      <c r="AA102" t="s">
        <v>1534</v>
      </c>
      <c r="AC102">
        <f t="shared" si="14"/>
        <v>2024</v>
      </c>
      <c r="AD102">
        <f t="shared" si="15"/>
        <v>2024</v>
      </c>
      <c r="AE102">
        <f t="shared" si="16"/>
        <v>2024</v>
      </c>
      <c r="AF102">
        <f t="shared" si="17"/>
        <v>6</v>
      </c>
    </row>
    <row r="103" spans="1:32" x14ac:dyDescent="0.25">
      <c r="A103" s="20">
        <v>45468</v>
      </c>
      <c r="B103" s="2">
        <v>1089</v>
      </c>
      <c r="C103" s="19" t="s">
        <v>147</v>
      </c>
      <c r="D103" s="19" t="s">
        <v>2</v>
      </c>
      <c r="E103" s="19" t="s">
        <v>2</v>
      </c>
      <c r="F103" s="19" t="s">
        <v>443</v>
      </c>
      <c r="G103" s="19" t="s">
        <v>444</v>
      </c>
      <c r="H103" s="19" t="s">
        <v>445</v>
      </c>
      <c r="I103" s="19" t="s">
        <v>446</v>
      </c>
      <c r="J103" s="2" t="s">
        <v>2</v>
      </c>
      <c r="K103" s="20">
        <v>45468</v>
      </c>
      <c r="L103" s="20">
        <v>45476</v>
      </c>
      <c r="M103" s="22">
        <v>89</v>
      </c>
      <c r="N103" s="21">
        <v>85500</v>
      </c>
      <c r="O103" s="2" t="s">
        <v>76</v>
      </c>
      <c r="P103" s="2" t="s">
        <v>4</v>
      </c>
      <c r="Q103" s="2" t="s">
        <v>5</v>
      </c>
      <c r="R103" s="21">
        <f t="shared" si="9"/>
        <v>85500</v>
      </c>
      <c r="S103" s="21">
        <v>85500</v>
      </c>
      <c r="T103" s="5">
        <f t="shared" si="10"/>
        <v>15000</v>
      </c>
      <c r="U103">
        <f t="shared" si="11"/>
        <v>6</v>
      </c>
      <c r="V103">
        <f t="shared" si="12"/>
        <v>6</v>
      </c>
      <c r="W103" s="5">
        <f t="shared" si="13"/>
        <v>0</v>
      </c>
      <c r="X103" s="2" t="s">
        <v>6</v>
      </c>
      <c r="Y103" s="2" t="s">
        <v>2</v>
      </c>
      <c r="Z103">
        <v>729</v>
      </c>
      <c r="AC103">
        <f t="shared" si="14"/>
        <v>2024</v>
      </c>
      <c r="AD103">
        <f t="shared" si="15"/>
        <v>2024</v>
      </c>
      <c r="AE103">
        <f t="shared" si="16"/>
        <v>2024</v>
      </c>
      <c r="AF103">
        <f t="shared" si="17"/>
        <v>7</v>
      </c>
    </row>
    <row r="104" spans="1:32" x14ac:dyDescent="0.25">
      <c r="A104" s="20">
        <v>45469</v>
      </c>
      <c r="B104" s="2">
        <v>1090</v>
      </c>
      <c r="C104" s="19" t="s">
        <v>447</v>
      </c>
      <c r="D104" s="19" t="s">
        <v>2</v>
      </c>
      <c r="E104" s="19" t="s">
        <v>2</v>
      </c>
      <c r="F104" s="19" t="s">
        <v>448</v>
      </c>
      <c r="G104" s="19" t="s">
        <v>449</v>
      </c>
      <c r="H104" s="19" t="s">
        <v>450</v>
      </c>
      <c r="I104" s="19" t="s">
        <v>451</v>
      </c>
      <c r="J104" s="2" t="s">
        <v>2</v>
      </c>
      <c r="K104" s="20">
        <v>45470</v>
      </c>
      <c r="L104" s="20">
        <v>45470</v>
      </c>
      <c r="M104" s="22">
        <v>110</v>
      </c>
      <c r="N104" s="21">
        <v>96000</v>
      </c>
      <c r="O104" s="2" t="s">
        <v>76</v>
      </c>
      <c r="P104" s="2" t="s">
        <v>4</v>
      </c>
      <c r="Q104" s="2" t="s">
        <v>5</v>
      </c>
      <c r="R104" s="21">
        <f t="shared" si="9"/>
        <v>96000</v>
      </c>
      <c r="S104" s="21">
        <v>96000</v>
      </c>
      <c r="T104" s="5">
        <f t="shared" si="10"/>
        <v>15000</v>
      </c>
      <c r="U104">
        <f t="shared" si="11"/>
        <v>6</v>
      </c>
      <c r="V104">
        <f t="shared" si="12"/>
        <v>6</v>
      </c>
      <c r="W104" s="5">
        <f t="shared" si="13"/>
        <v>0</v>
      </c>
      <c r="X104" s="2" t="s">
        <v>6</v>
      </c>
      <c r="Y104" s="2" t="s">
        <v>2</v>
      </c>
      <c r="Z104">
        <v>737</v>
      </c>
      <c r="AC104">
        <f t="shared" si="14"/>
        <v>2024</v>
      </c>
      <c r="AD104">
        <f t="shared" si="15"/>
        <v>2024</v>
      </c>
      <c r="AE104">
        <f t="shared" si="16"/>
        <v>2024</v>
      </c>
      <c r="AF104">
        <f t="shared" si="17"/>
        <v>6</v>
      </c>
    </row>
    <row r="105" spans="1:32" x14ac:dyDescent="0.25">
      <c r="A105" s="20">
        <v>45469</v>
      </c>
      <c r="B105" s="2">
        <v>1091</v>
      </c>
      <c r="C105" s="19" t="s">
        <v>0</v>
      </c>
      <c r="D105" s="19" t="s">
        <v>111</v>
      </c>
      <c r="E105" s="19" t="s">
        <v>2</v>
      </c>
      <c r="F105" s="19" t="s">
        <v>452</v>
      </c>
      <c r="G105" s="19" t="s">
        <v>334</v>
      </c>
      <c r="H105" s="19" t="s">
        <v>453</v>
      </c>
      <c r="I105" s="19" t="s">
        <v>454</v>
      </c>
      <c r="J105" s="2" t="s">
        <v>2</v>
      </c>
      <c r="K105" s="20">
        <v>45489</v>
      </c>
      <c r="L105" s="20">
        <v>45502</v>
      </c>
      <c r="M105" s="22">
        <v>0</v>
      </c>
      <c r="N105" s="21">
        <v>0</v>
      </c>
      <c r="O105" s="2" t="s">
        <v>76</v>
      </c>
      <c r="P105" s="2" t="s">
        <v>306</v>
      </c>
      <c r="Q105" s="2" t="s">
        <v>5</v>
      </c>
      <c r="R105" s="21">
        <f t="shared" si="9"/>
        <v>0</v>
      </c>
      <c r="S105" s="21">
        <v>0</v>
      </c>
      <c r="T105" s="5">
        <f t="shared" si="10"/>
        <v>15000</v>
      </c>
      <c r="U105">
        <f t="shared" si="11"/>
        <v>7</v>
      </c>
      <c r="V105">
        <f t="shared" si="12"/>
        <v>6</v>
      </c>
      <c r="W105" s="5">
        <f t="shared" si="13"/>
        <v>0</v>
      </c>
      <c r="X105" s="2" t="s">
        <v>6</v>
      </c>
      <c r="Y105" s="2" t="s">
        <v>2</v>
      </c>
      <c r="AC105">
        <f t="shared" si="14"/>
        <v>2024</v>
      </c>
      <c r="AD105">
        <f t="shared" si="15"/>
        <v>2024</v>
      </c>
      <c r="AE105">
        <f t="shared" si="16"/>
        <v>2024</v>
      </c>
      <c r="AF105">
        <f t="shared" si="17"/>
        <v>7</v>
      </c>
    </row>
    <row r="106" spans="1:32" x14ac:dyDescent="0.25">
      <c r="A106" s="20">
        <v>45470</v>
      </c>
      <c r="B106" s="2">
        <v>1092</v>
      </c>
      <c r="C106" s="19" t="s">
        <v>367</v>
      </c>
      <c r="D106" s="19" t="s">
        <v>2</v>
      </c>
      <c r="E106" s="19" t="s">
        <v>2</v>
      </c>
      <c r="F106" s="19" t="s">
        <v>455</v>
      </c>
      <c r="G106" s="19" t="s">
        <v>456</v>
      </c>
      <c r="H106" s="19" t="s">
        <v>457</v>
      </c>
      <c r="I106" s="19" t="s">
        <v>458</v>
      </c>
      <c r="J106" s="2" t="s">
        <v>2</v>
      </c>
      <c r="K106" s="20">
        <v>45470</v>
      </c>
      <c r="L106" s="20"/>
      <c r="M106" s="22">
        <v>500</v>
      </c>
      <c r="N106" s="21">
        <v>480000</v>
      </c>
      <c r="O106" s="2" t="s">
        <v>3</v>
      </c>
      <c r="P106" s="2" t="s">
        <v>128</v>
      </c>
      <c r="Q106" s="2" t="s">
        <v>97</v>
      </c>
      <c r="R106" s="21">
        <f t="shared" si="9"/>
        <v>0</v>
      </c>
      <c r="S106" s="21">
        <v>0</v>
      </c>
      <c r="T106" s="5">
        <f t="shared" si="10"/>
        <v>15000</v>
      </c>
      <c r="U106">
        <f t="shared" si="11"/>
        <v>6</v>
      </c>
      <c r="V106">
        <f t="shared" si="12"/>
        <v>6</v>
      </c>
      <c r="W106" s="5">
        <f t="shared" si="13"/>
        <v>0</v>
      </c>
      <c r="X106" s="2" t="s">
        <v>6</v>
      </c>
      <c r="Y106" s="2" t="s">
        <v>2</v>
      </c>
      <c r="AC106">
        <f t="shared" si="14"/>
        <v>2024</v>
      </c>
      <c r="AD106">
        <f t="shared" si="15"/>
        <v>2024</v>
      </c>
      <c r="AE106" t="str">
        <f t="shared" si="16"/>
        <v/>
      </c>
      <c r="AF106" t="str">
        <f t="shared" si="17"/>
        <v/>
      </c>
    </row>
    <row r="107" spans="1:32" x14ac:dyDescent="0.25">
      <c r="A107" s="20">
        <v>45482</v>
      </c>
      <c r="B107" s="2">
        <v>1093</v>
      </c>
      <c r="C107" s="19" t="s">
        <v>459</v>
      </c>
      <c r="D107" s="19" t="s">
        <v>2</v>
      </c>
      <c r="E107" s="19" t="s">
        <v>2</v>
      </c>
      <c r="F107" s="19" t="s">
        <v>399</v>
      </c>
      <c r="G107" s="19" t="s">
        <v>195</v>
      </c>
      <c r="H107" s="19" t="s">
        <v>460</v>
      </c>
      <c r="I107" s="19" t="s">
        <v>461</v>
      </c>
      <c r="J107" s="2" t="s">
        <v>2</v>
      </c>
      <c r="K107" s="20">
        <v>45482</v>
      </c>
      <c r="L107" s="20">
        <v>45483</v>
      </c>
      <c r="M107" s="22">
        <v>206</v>
      </c>
      <c r="N107" s="21">
        <v>214000</v>
      </c>
      <c r="O107" s="2" t="s">
        <v>76</v>
      </c>
      <c r="P107" s="2" t="s">
        <v>4</v>
      </c>
      <c r="Q107" s="2" t="s">
        <v>5</v>
      </c>
      <c r="R107" s="21">
        <f t="shared" si="9"/>
        <v>214000</v>
      </c>
      <c r="S107" s="21">
        <v>214000</v>
      </c>
      <c r="T107" s="5">
        <f t="shared" si="10"/>
        <v>15000</v>
      </c>
      <c r="U107">
        <f t="shared" si="11"/>
        <v>7</v>
      </c>
      <c r="V107">
        <f t="shared" si="12"/>
        <v>7</v>
      </c>
      <c r="W107" s="5">
        <f t="shared" si="13"/>
        <v>0</v>
      </c>
      <c r="X107" s="2" t="s">
        <v>6</v>
      </c>
      <c r="Y107" s="2" t="s">
        <v>2</v>
      </c>
      <c r="Z107">
        <v>735</v>
      </c>
      <c r="AC107">
        <f t="shared" si="14"/>
        <v>2024</v>
      </c>
      <c r="AD107">
        <f t="shared" si="15"/>
        <v>2024</v>
      </c>
      <c r="AE107">
        <f t="shared" si="16"/>
        <v>2024</v>
      </c>
      <c r="AF107">
        <f t="shared" si="17"/>
        <v>7</v>
      </c>
    </row>
    <row r="108" spans="1:32" x14ac:dyDescent="0.25">
      <c r="A108" s="20">
        <v>45484</v>
      </c>
      <c r="B108" s="2">
        <v>1094</v>
      </c>
      <c r="C108" s="19" t="s">
        <v>372</v>
      </c>
      <c r="D108" s="19" t="s">
        <v>2</v>
      </c>
      <c r="E108" s="19" t="s">
        <v>2</v>
      </c>
      <c r="F108" s="19" t="s">
        <v>86</v>
      </c>
      <c r="G108" s="19" t="s">
        <v>351</v>
      </c>
      <c r="H108" s="19" t="s">
        <v>430</v>
      </c>
      <c r="I108" s="19" t="s">
        <v>462</v>
      </c>
      <c r="J108" s="2" t="s">
        <v>2</v>
      </c>
      <c r="K108" s="20">
        <v>45485</v>
      </c>
      <c r="L108" s="20">
        <v>45491</v>
      </c>
      <c r="M108" s="22">
        <v>126</v>
      </c>
      <c r="N108" s="21">
        <v>120000</v>
      </c>
      <c r="O108" s="2" t="s">
        <v>76</v>
      </c>
      <c r="P108" s="2" t="s">
        <v>4</v>
      </c>
      <c r="Q108" s="2" t="s">
        <v>5</v>
      </c>
      <c r="R108" s="21">
        <f t="shared" si="9"/>
        <v>120000</v>
      </c>
      <c r="S108" s="21">
        <v>120000</v>
      </c>
      <c r="T108" s="5">
        <f t="shared" si="10"/>
        <v>15000</v>
      </c>
      <c r="U108">
        <f t="shared" si="11"/>
        <v>7</v>
      </c>
      <c r="V108">
        <f t="shared" si="12"/>
        <v>7</v>
      </c>
      <c r="W108" s="5">
        <f t="shared" si="13"/>
        <v>0</v>
      </c>
      <c r="X108" s="2" t="s">
        <v>6</v>
      </c>
      <c r="Y108" s="2" t="s">
        <v>2</v>
      </c>
      <c r="Z108">
        <v>736</v>
      </c>
      <c r="AC108">
        <f t="shared" si="14"/>
        <v>2024</v>
      </c>
      <c r="AD108">
        <f t="shared" si="15"/>
        <v>2024</v>
      </c>
      <c r="AE108">
        <f t="shared" si="16"/>
        <v>2024</v>
      </c>
      <c r="AF108">
        <f t="shared" si="17"/>
        <v>7</v>
      </c>
    </row>
    <row r="109" spans="1:32" x14ac:dyDescent="0.25">
      <c r="A109" s="20">
        <v>45488</v>
      </c>
      <c r="B109" s="2">
        <v>1095</v>
      </c>
      <c r="C109" s="19" t="s">
        <v>463</v>
      </c>
      <c r="D109" s="19" t="s">
        <v>2</v>
      </c>
      <c r="E109" s="19" t="s">
        <v>2</v>
      </c>
      <c r="F109" s="19" t="s">
        <v>464</v>
      </c>
      <c r="G109" s="19" t="s">
        <v>369</v>
      </c>
      <c r="H109" s="19" t="s">
        <v>465</v>
      </c>
      <c r="I109" s="19" t="s">
        <v>466</v>
      </c>
      <c r="J109" s="2" t="s">
        <v>2</v>
      </c>
      <c r="K109" s="20">
        <v>45491</v>
      </c>
      <c r="L109" s="20">
        <v>45488</v>
      </c>
      <c r="M109" s="22">
        <v>450</v>
      </c>
      <c r="N109" s="21">
        <v>432000</v>
      </c>
      <c r="O109" s="2" t="s">
        <v>76</v>
      </c>
      <c r="P109" s="2" t="s">
        <v>4</v>
      </c>
      <c r="Q109" s="2" t="s">
        <v>5</v>
      </c>
      <c r="R109" s="21">
        <f t="shared" si="9"/>
        <v>432000</v>
      </c>
      <c r="S109" s="21">
        <v>432000</v>
      </c>
      <c r="T109" s="5">
        <f t="shared" si="10"/>
        <v>15000</v>
      </c>
      <c r="U109">
        <f t="shared" si="11"/>
        <v>7</v>
      </c>
      <c r="V109">
        <f t="shared" si="12"/>
        <v>7</v>
      </c>
      <c r="W109" s="5">
        <f t="shared" si="13"/>
        <v>0</v>
      </c>
      <c r="X109" s="2" t="s">
        <v>6</v>
      </c>
      <c r="Y109" s="2" t="s">
        <v>2</v>
      </c>
      <c r="Z109">
        <v>742</v>
      </c>
      <c r="AC109">
        <f t="shared" si="14"/>
        <v>2024</v>
      </c>
      <c r="AD109">
        <f t="shared" si="15"/>
        <v>2024</v>
      </c>
      <c r="AE109">
        <f t="shared" si="16"/>
        <v>2024</v>
      </c>
      <c r="AF109">
        <f t="shared" si="17"/>
        <v>7</v>
      </c>
    </row>
    <row r="110" spans="1:32" x14ac:dyDescent="0.25">
      <c r="A110" s="20">
        <v>45488</v>
      </c>
      <c r="B110" s="2">
        <v>1096</v>
      </c>
      <c r="C110" s="19" t="s">
        <v>0</v>
      </c>
      <c r="D110" s="19" t="s">
        <v>111</v>
      </c>
      <c r="E110" s="19" t="s">
        <v>467</v>
      </c>
      <c r="F110" s="19" t="s">
        <v>468</v>
      </c>
      <c r="G110" s="19" t="s">
        <v>469</v>
      </c>
      <c r="H110" s="19" t="s">
        <v>470</v>
      </c>
      <c r="I110" s="19" t="s">
        <v>471</v>
      </c>
      <c r="J110" s="2" t="s">
        <v>472</v>
      </c>
      <c r="K110" s="20">
        <v>45488</v>
      </c>
      <c r="L110" s="20">
        <v>45504</v>
      </c>
      <c r="M110" s="22">
        <v>0</v>
      </c>
      <c r="N110" s="21">
        <v>485550</v>
      </c>
      <c r="O110" s="2" t="s">
        <v>76</v>
      </c>
      <c r="P110" s="2" t="s">
        <v>4</v>
      </c>
      <c r="Q110" s="2" t="s">
        <v>5</v>
      </c>
      <c r="R110" s="21">
        <f t="shared" si="9"/>
        <v>485550</v>
      </c>
      <c r="S110" s="21">
        <v>485550</v>
      </c>
      <c r="T110" s="5">
        <f t="shared" si="10"/>
        <v>15000</v>
      </c>
      <c r="U110">
        <f t="shared" si="11"/>
        <v>7</v>
      </c>
      <c r="V110">
        <f t="shared" si="12"/>
        <v>7</v>
      </c>
      <c r="W110" s="5">
        <f t="shared" si="13"/>
        <v>0</v>
      </c>
      <c r="X110" s="2" t="s">
        <v>6</v>
      </c>
      <c r="Y110" s="2" t="s">
        <v>2</v>
      </c>
      <c r="AA110" t="s">
        <v>1535</v>
      </c>
      <c r="AC110">
        <f t="shared" si="14"/>
        <v>2024</v>
      </c>
      <c r="AD110">
        <f t="shared" si="15"/>
        <v>2024</v>
      </c>
      <c r="AE110">
        <f t="shared" si="16"/>
        <v>2024</v>
      </c>
      <c r="AF110">
        <f t="shared" si="17"/>
        <v>7</v>
      </c>
    </row>
    <row r="111" spans="1:32" x14ac:dyDescent="0.25">
      <c r="A111" s="20">
        <v>45488</v>
      </c>
      <c r="B111" s="2">
        <v>1097</v>
      </c>
      <c r="C111" s="19" t="s">
        <v>0</v>
      </c>
      <c r="D111" s="19" t="s">
        <v>111</v>
      </c>
      <c r="E111" s="19" t="s">
        <v>467</v>
      </c>
      <c r="F111" s="19" t="s">
        <v>473</v>
      </c>
      <c r="G111" s="19" t="s">
        <v>469</v>
      </c>
      <c r="H111" s="19" t="s">
        <v>474</v>
      </c>
      <c r="I111" s="19" t="s">
        <v>475</v>
      </c>
      <c r="J111" s="2" t="s">
        <v>476</v>
      </c>
      <c r="K111" s="20">
        <v>45505</v>
      </c>
      <c r="L111" s="20">
        <v>45504</v>
      </c>
      <c r="M111" s="22">
        <v>0</v>
      </c>
      <c r="N111" s="21">
        <v>571455</v>
      </c>
      <c r="O111" s="2" t="s">
        <v>76</v>
      </c>
      <c r="P111" s="2" t="s">
        <v>4</v>
      </c>
      <c r="Q111" s="2" t="s">
        <v>5</v>
      </c>
      <c r="R111" s="21">
        <f t="shared" si="9"/>
        <v>571455</v>
      </c>
      <c r="S111" s="21">
        <v>571455</v>
      </c>
      <c r="T111" s="5">
        <f t="shared" si="10"/>
        <v>15000</v>
      </c>
      <c r="U111">
        <f t="shared" si="11"/>
        <v>8</v>
      </c>
      <c r="V111">
        <f t="shared" si="12"/>
        <v>7</v>
      </c>
      <c r="W111" s="5">
        <f t="shared" si="13"/>
        <v>0</v>
      </c>
      <c r="X111" s="2" t="s">
        <v>6</v>
      </c>
      <c r="Y111" s="2" t="s">
        <v>2</v>
      </c>
      <c r="AA111" t="s">
        <v>1536</v>
      </c>
      <c r="AC111">
        <f t="shared" si="14"/>
        <v>2024</v>
      </c>
      <c r="AD111">
        <f t="shared" si="15"/>
        <v>2024</v>
      </c>
      <c r="AE111">
        <f t="shared" si="16"/>
        <v>2024</v>
      </c>
      <c r="AF111">
        <f t="shared" si="17"/>
        <v>7</v>
      </c>
    </row>
    <row r="112" spans="1:32" x14ac:dyDescent="0.25">
      <c r="A112" s="20">
        <v>45488</v>
      </c>
      <c r="B112" s="2">
        <v>1098</v>
      </c>
      <c r="C112" s="19" t="s">
        <v>0</v>
      </c>
      <c r="D112" s="19" t="s">
        <v>111</v>
      </c>
      <c r="E112" s="19" t="s">
        <v>467</v>
      </c>
      <c r="F112" s="19" t="s">
        <v>473</v>
      </c>
      <c r="G112" s="19" t="s">
        <v>469</v>
      </c>
      <c r="H112" s="19" t="s">
        <v>474</v>
      </c>
      <c r="I112" s="19" t="s">
        <v>477</v>
      </c>
      <c r="J112" s="2" t="s">
        <v>478</v>
      </c>
      <c r="K112" s="20">
        <v>45505</v>
      </c>
      <c r="L112" s="20">
        <v>45505</v>
      </c>
      <c r="M112" s="22">
        <v>0</v>
      </c>
      <c r="N112" s="21">
        <v>571455</v>
      </c>
      <c r="O112" s="2" t="s">
        <v>76</v>
      </c>
      <c r="P112" s="2" t="s">
        <v>4</v>
      </c>
      <c r="Q112" s="2" t="s">
        <v>5</v>
      </c>
      <c r="R112" s="21">
        <f t="shared" si="9"/>
        <v>571455</v>
      </c>
      <c r="S112" s="21">
        <v>571455</v>
      </c>
      <c r="T112" s="5">
        <f t="shared" si="10"/>
        <v>15000</v>
      </c>
      <c r="U112">
        <f t="shared" si="11"/>
        <v>8</v>
      </c>
      <c r="V112">
        <f t="shared" si="12"/>
        <v>7</v>
      </c>
      <c r="W112" s="5">
        <f t="shared" si="13"/>
        <v>0</v>
      </c>
      <c r="X112" s="2" t="s">
        <v>6</v>
      </c>
      <c r="Y112" s="2" t="s">
        <v>2</v>
      </c>
      <c r="AA112" t="s">
        <v>1537</v>
      </c>
      <c r="AC112">
        <f t="shared" si="14"/>
        <v>2024</v>
      </c>
      <c r="AD112">
        <f t="shared" si="15"/>
        <v>2024</v>
      </c>
      <c r="AE112">
        <f t="shared" si="16"/>
        <v>2024</v>
      </c>
      <c r="AF112">
        <f t="shared" si="17"/>
        <v>8</v>
      </c>
    </row>
    <row r="113" spans="1:32" x14ac:dyDescent="0.25">
      <c r="A113" s="20">
        <v>45488</v>
      </c>
      <c r="B113" s="2">
        <v>1099</v>
      </c>
      <c r="C113" s="19" t="s">
        <v>0</v>
      </c>
      <c r="D113" s="19" t="s">
        <v>111</v>
      </c>
      <c r="E113" s="19" t="s">
        <v>467</v>
      </c>
      <c r="F113" s="19" t="s">
        <v>473</v>
      </c>
      <c r="G113" s="19" t="s">
        <v>469</v>
      </c>
      <c r="H113" s="19" t="s">
        <v>474</v>
      </c>
      <c r="I113" s="19" t="s">
        <v>479</v>
      </c>
      <c r="J113" s="2" t="s">
        <v>480</v>
      </c>
      <c r="K113" s="20">
        <v>45505</v>
      </c>
      <c r="L113" s="20">
        <v>45505</v>
      </c>
      <c r="M113" s="22">
        <v>0</v>
      </c>
      <c r="N113" s="21">
        <v>571455</v>
      </c>
      <c r="O113" s="2" t="s">
        <v>76</v>
      </c>
      <c r="P113" s="2" t="s">
        <v>4</v>
      </c>
      <c r="Q113" s="2" t="s">
        <v>5</v>
      </c>
      <c r="R113" s="21">
        <f t="shared" si="9"/>
        <v>571455</v>
      </c>
      <c r="S113" s="21">
        <v>571455</v>
      </c>
      <c r="T113" s="5">
        <f t="shared" si="10"/>
        <v>15000</v>
      </c>
      <c r="U113">
        <f t="shared" si="11"/>
        <v>8</v>
      </c>
      <c r="V113">
        <f t="shared" si="12"/>
        <v>7</v>
      </c>
      <c r="W113" s="5">
        <f t="shared" si="13"/>
        <v>0</v>
      </c>
      <c r="X113" s="2" t="s">
        <v>6</v>
      </c>
      <c r="Y113" s="2" t="s">
        <v>2</v>
      </c>
      <c r="AA113" t="s">
        <v>1538</v>
      </c>
      <c r="AC113">
        <f t="shared" si="14"/>
        <v>2024</v>
      </c>
      <c r="AD113">
        <f t="shared" si="15"/>
        <v>2024</v>
      </c>
      <c r="AE113">
        <f t="shared" si="16"/>
        <v>2024</v>
      </c>
      <c r="AF113">
        <f t="shared" si="17"/>
        <v>8</v>
      </c>
    </row>
    <row r="114" spans="1:32" x14ac:dyDescent="0.25">
      <c r="A114" s="20">
        <v>45489</v>
      </c>
      <c r="B114" s="2">
        <v>1100</v>
      </c>
      <c r="C114" s="19" t="s">
        <v>0</v>
      </c>
      <c r="D114" s="19" t="s">
        <v>111</v>
      </c>
      <c r="E114" s="19" t="s">
        <v>467</v>
      </c>
      <c r="F114" s="19" t="s">
        <v>481</v>
      </c>
      <c r="G114" s="19" t="s">
        <v>469</v>
      </c>
      <c r="H114" s="19" t="s">
        <v>482</v>
      </c>
      <c r="I114" s="19" t="s">
        <v>483</v>
      </c>
      <c r="J114" s="2" t="s">
        <v>484</v>
      </c>
      <c r="K114" s="20">
        <v>45489</v>
      </c>
      <c r="L114" s="20">
        <v>45505</v>
      </c>
      <c r="M114" s="22">
        <v>0</v>
      </c>
      <c r="N114" s="21">
        <v>0</v>
      </c>
      <c r="O114" s="2" t="s">
        <v>76</v>
      </c>
      <c r="P114" s="2" t="s">
        <v>320</v>
      </c>
      <c r="Q114" s="2" t="s">
        <v>5</v>
      </c>
      <c r="R114" s="21">
        <f t="shared" si="9"/>
        <v>0</v>
      </c>
      <c r="S114" s="21">
        <v>0</v>
      </c>
      <c r="T114" s="5">
        <f t="shared" si="10"/>
        <v>15000</v>
      </c>
      <c r="U114">
        <f t="shared" si="11"/>
        <v>7</v>
      </c>
      <c r="V114">
        <f t="shared" si="12"/>
        <v>7</v>
      </c>
      <c r="W114" s="5">
        <f t="shared" si="13"/>
        <v>0</v>
      </c>
      <c r="X114" s="2" t="s">
        <v>6</v>
      </c>
      <c r="Y114" s="2" t="s">
        <v>2</v>
      </c>
      <c r="AC114">
        <f t="shared" si="14"/>
        <v>2024</v>
      </c>
      <c r="AD114">
        <f t="shared" si="15"/>
        <v>2024</v>
      </c>
      <c r="AE114">
        <f t="shared" si="16"/>
        <v>2024</v>
      </c>
      <c r="AF114">
        <f t="shared" si="17"/>
        <v>8</v>
      </c>
    </row>
    <row r="115" spans="1:32" x14ac:dyDescent="0.25">
      <c r="A115" s="20">
        <v>45489</v>
      </c>
      <c r="B115" s="2">
        <v>1101</v>
      </c>
      <c r="C115" s="19" t="s">
        <v>0</v>
      </c>
      <c r="D115" s="19" t="s">
        <v>111</v>
      </c>
      <c r="E115" s="19" t="s">
        <v>467</v>
      </c>
      <c r="F115" s="19" t="s">
        <v>308</v>
      </c>
      <c r="G115" s="19" t="s">
        <v>485</v>
      </c>
      <c r="H115" s="19" t="s">
        <v>486</v>
      </c>
      <c r="I115" s="19" t="s">
        <v>487</v>
      </c>
      <c r="J115" s="2" t="s">
        <v>2</v>
      </c>
      <c r="K115" s="20">
        <v>45489</v>
      </c>
      <c r="L115" s="20">
        <v>45505</v>
      </c>
      <c r="M115" s="22">
        <v>0</v>
      </c>
      <c r="N115" s="21">
        <v>649890</v>
      </c>
      <c r="O115" s="2" t="s">
        <v>76</v>
      </c>
      <c r="P115" s="2" t="s">
        <v>4</v>
      </c>
      <c r="Q115" s="2" t="s">
        <v>5</v>
      </c>
      <c r="R115" s="21">
        <f t="shared" si="9"/>
        <v>649890</v>
      </c>
      <c r="S115" s="21">
        <v>649890</v>
      </c>
      <c r="T115" s="5">
        <f t="shared" si="10"/>
        <v>15000</v>
      </c>
      <c r="U115">
        <f t="shared" si="11"/>
        <v>7</v>
      </c>
      <c r="V115">
        <f t="shared" si="12"/>
        <v>7</v>
      </c>
      <c r="W115" s="5">
        <f t="shared" si="13"/>
        <v>0</v>
      </c>
      <c r="X115" s="2" t="s">
        <v>6</v>
      </c>
      <c r="Y115" s="2" t="s">
        <v>2</v>
      </c>
      <c r="AA115" t="s">
        <v>1539</v>
      </c>
      <c r="AC115">
        <f t="shared" si="14"/>
        <v>2024</v>
      </c>
      <c r="AD115">
        <f t="shared" si="15"/>
        <v>2024</v>
      </c>
      <c r="AE115">
        <f t="shared" si="16"/>
        <v>2024</v>
      </c>
      <c r="AF115">
        <f t="shared" si="17"/>
        <v>8</v>
      </c>
    </row>
    <row r="116" spans="1:32" x14ac:dyDescent="0.25">
      <c r="A116" s="20">
        <v>45491</v>
      </c>
      <c r="B116" s="2">
        <v>1102</v>
      </c>
      <c r="C116" s="19" t="s">
        <v>372</v>
      </c>
      <c r="D116" s="19" t="s">
        <v>2</v>
      </c>
      <c r="E116" s="19" t="s">
        <v>2</v>
      </c>
      <c r="F116" s="19" t="s">
        <v>399</v>
      </c>
      <c r="G116" s="19" t="s">
        <v>94</v>
      </c>
      <c r="H116" s="19" t="s">
        <v>95</v>
      </c>
      <c r="I116" s="19" t="s">
        <v>488</v>
      </c>
      <c r="J116" s="2" t="s">
        <v>2</v>
      </c>
      <c r="K116" s="20">
        <v>45491</v>
      </c>
      <c r="L116" s="20">
        <v>45497</v>
      </c>
      <c r="M116" s="22">
        <v>165</v>
      </c>
      <c r="N116" s="21">
        <v>159500</v>
      </c>
      <c r="O116" s="2" t="s">
        <v>76</v>
      </c>
      <c r="P116" s="2" t="s">
        <v>4</v>
      </c>
      <c r="Q116" s="2" t="s">
        <v>5</v>
      </c>
      <c r="R116" s="21">
        <f t="shared" si="9"/>
        <v>159500</v>
      </c>
      <c r="S116" s="21">
        <v>159500</v>
      </c>
      <c r="T116" s="5">
        <f t="shared" si="10"/>
        <v>15000</v>
      </c>
      <c r="U116">
        <f t="shared" si="11"/>
        <v>7</v>
      </c>
      <c r="V116">
        <f t="shared" si="12"/>
        <v>7</v>
      </c>
      <c r="W116" s="5">
        <f t="shared" si="13"/>
        <v>0</v>
      </c>
      <c r="X116" s="2" t="s">
        <v>6</v>
      </c>
      <c r="Y116" s="2" t="s">
        <v>2</v>
      </c>
      <c r="Z116">
        <v>739</v>
      </c>
      <c r="AC116">
        <f t="shared" si="14"/>
        <v>2024</v>
      </c>
      <c r="AD116">
        <f t="shared" si="15"/>
        <v>2024</v>
      </c>
      <c r="AE116">
        <f t="shared" si="16"/>
        <v>2024</v>
      </c>
      <c r="AF116">
        <f t="shared" si="17"/>
        <v>7</v>
      </c>
    </row>
    <row r="117" spans="1:32" x14ac:dyDescent="0.25">
      <c r="A117" s="20">
        <v>45492</v>
      </c>
      <c r="B117" s="2">
        <v>1103</v>
      </c>
      <c r="C117" s="19" t="s">
        <v>489</v>
      </c>
      <c r="D117" s="19" t="s">
        <v>2</v>
      </c>
      <c r="E117" s="19" t="s">
        <v>2</v>
      </c>
      <c r="F117" s="19" t="s">
        <v>490</v>
      </c>
      <c r="G117" s="19" t="s">
        <v>491</v>
      </c>
      <c r="H117" s="19" t="s">
        <v>492</v>
      </c>
      <c r="I117" s="19" t="s">
        <v>493</v>
      </c>
      <c r="J117" s="2" t="s">
        <v>2</v>
      </c>
      <c r="K117" s="20">
        <v>45502</v>
      </c>
      <c r="L117" s="20">
        <v>45492</v>
      </c>
      <c r="M117" s="22">
        <v>250</v>
      </c>
      <c r="N117" s="21">
        <v>256000</v>
      </c>
      <c r="O117" s="2" t="s">
        <v>76</v>
      </c>
      <c r="P117" s="2" t="s">
        <v>4</v>
      </c>
      <c r="Q117" s="2" t="s">
        <v>5</v>
      </c>
      <c r="R117" s="21">
        <f t="shared" si="9"/>
        <v>256000</v>
      </c>
      <c r="S117" s="21">
        <v>256000</v>
      </c>
      <c r="T117" s="5">
        <f t="shared" si="10"/>
        <v>15000</v>
      </c>
      <c r="U117">
        <f t="shared" si="11"/>
        <v>7</v>
      </c>
      <c r="V117">
        <f t="shared" si="12"/>
        <v>7</v>
      </c>
      <c r="W117" s="5">
        <f t="shared" si="13"/>
        <v>0</v>
      </c>
      <c r="X117" s="2" t="s">
        <v>6</v>
      </c>
      <c r="Y117" s="2" t="s">
        <v>2</v>
      </c>
      <c r="Z117">
        <v>743</v>
      </c>
      <c r="AC117">
        <f t="shared" si="14"/>
        <v>2024</v>
      </c>
      <c r="AD117">
        <f t="shared" si="15"/>
        <v>2024</v>
      </c>
      <c r="AE117">
        <f t="shared" si="16"/>
        <v>2024</v>
      </c>
      <c r="AF117">
        <f t="shared" si="17"/>
        <v>7</v>
      </c>
    </row>
    <row r="118" spans="1:32" x14ac:dyDescent="0.25">
      <c r="A118" s="20">
        <v>45497</v>
      </c>
      <c r="B118" s="2">
        <v>1104</v>
      </c>
      <c r="C118" s="19" t="s">
        <v>244</v>
      </c>
      <c r="D118" s="19" t="s">
        <v>2</v>
      </c>
      <c r="E118" s="19" t="s">
        <v>2</v>
      </c>
      <c r="F118" s="19" t="s">
        <v>211</v>
      </c>
      <c r="G118" s="19" t="s">
        <v>107</v>
      </c>
      <c r="H118" s="19" t="s">
        <v>212</v>
      </c>
      <c r="I118" s="19" t="s">
        <v>494</v>
      </c>
      <c r="J118" s="2" t="s">
        <v>2</v>
      </c>
      <c r="K118" s="20">
        <v>45497</v>
      </c>
      <c r="L118" s="20"/>
      <c r="M118" s="22">
        <v>108</v>
      </c>
      <c r="N118" s="21">
        <v>103750</v>
      </c>
      <c r="O118" s="2" t="s">
        <v>3</v>
      </c>
      <c r="P118" s="2" t="s">
        <v>128</v>
      </c>
      <c r="Q118" s="2" t="s">
        <v>97</v>
      </c>
      <c r="R118" s="21">
        <f t="shared" si="9"/>
        <v>0</v>
      </c>
      <c r="S118" s="21">
        <v>0</v>
      </c>
      <c r="T118" s="5">
        <f t="shared" si="10"/>
        <v>15000</v>
      </c>
      <c r="U118">
        <f t="shared" si="11"/>
        <v>7</v>
      </c>
      <c r="V118">
        <f t="shared" si="12"/>
        <v>7</v>
      </c>
      <c r="W118" s="5">
        <f t="shared" si="13"/>
        <v>0</v>
      </c>
      <c r="X118" s="2" t="s">
        <v>6</v>
      </c>
      <c r="Y118" s="2" t="s">
        <v>2</v>
      </c>
      <c r="AC118">
        <f t="shared" si="14"/>
        <v>2024</v>
      </c>
      <c r="AD118">
        <f t="shared" si="15"/>
        <v>2024</v>
      </c>
      <c r="AE118" t="str">
        <f t="shared" si="16"/>
        <v/>
      </c>
      <c r="AF118" t="str">
        <f t="shared" si="17"/>
        <v/>
      </c>
    </row>
    <row r="119" spans="1:32" x14ac:dyDescent="0.25">
      <c r="A119" s="20">
        <v>45499</v>
      </c>
      <c r="B119" s="2">
        <v>1105</v>
      </c>
      <c r="C119" s="19" t="s">
        <v>495</v>
      </c>
      <c r="D119" s="19" t="s">
        <v>2</v>
      </c>
      <c r="E119" s="19" t="s">
        <v>2</v>
      </c>
      <c r="F119" s="19" t="s">
        <v>496</v>
      </c>
      <c r="G119" s="19" t="s">
        <v>497</v>
      </c>
      <c r="H119" s="19" t="s">
        <v>498</v>
      </c>
      <c r="I119" s="19" t="s">
        <v>499</v>
      </c>
      <c r="J119" s="2" t="s">
        <v>2</v>
      </c>
      <c r="K119" s="20">
        <v>45502</v>
      </c>
      <c r="L119" s="20">
        <v>45502</v>
      </c>
      <c r="M119" s="22">
        <v>90</v>
      </c>
      <c r="N119" s="21">
        <v>87350</v>
      </c>
      <c r="O119" s="2" t="s">
        <v>76</v>
      </c>
      <c r="P119" s="2" t="s">
        <v>4</v>
      </c>
      <c r="Q119" s="2" t="s">
        <v>5</v>
      </c>
      <c r="R119" s="21">
        <f t="shared" si="9"/>
        <v>87350</v>
      </c>
      <c r="S119" s="21">
        <v>87350</v>
      </c>
      <c r="T119" s="5">
        <f t="shared" si="10"/>
        <v>15000</v>
      </c>
      <c r="U119">
        <f t="shared" si="11"/>
        <v>7</v>
      </c>
      <c r="V119">
        <f t="shared" si="12"/>
        <v>7</v>
      </c>
      <c r="W119" s="5">
        <f t="shared" si="13"/>
        <v>0</v>
      </c>
      <c r="X119" s="2" t="s">
        <v>6</v>
      </c>
      <c r="Y119" s="2" t="s">
        <v>2</v>
      </c>
      <c r="Z119">
        <v>741</v>
      </c>
      <c r="AC119">
        <f t="shared" si="14"/>
        <v>2024</v>
      </c>
      <c r="AD119">
        <f t="shared" si="15"/>
        <v>2024</v>
      </c>
      <c r="AE119">
        <f t="shared" si="16"/>
        <v>2024</v>
      </c>
      <c r="AF119">
        <f t="shared" si="17"/>
        <v>7</v>
      </c>
    </row>
    <row r="120" spans="1:32" x14ac:dyDescent="0.25">
      <c r="A120" s="20">
        <v>45502</v>
      </c>
      <c r="B120" s="2">
        <v>1106</v>
      </c>
      <c r="C120" s="19" t="s">
        <v>147</v>
      </c>
      <c r="D120" s="19" t="s">
        <v>2</v>
      </c>
      <c r="E120" s="19" t="s">
        <v>2</v>
      </c>
      <c r="F120" s="19" t="s">
        <v>500</v>
      </c>
      <c r="G120" s="19" t="s">
        <v>501</v>
      </c>
      <c r="H120" s="19" t="s">
        <v>502</v>
      </c>
      <c r="I120" s="19" t="s">
        <v>503</v>
      </c>
      <c r="J120" s="2" t="s">
        <v>2</v>
      </c>
      <c r="K120" s="20">
        <v>45502</v>
      </c>
      <c r="L120" s="20">
        <v>45502</v>
      </c>
      <c r="M120" s="22">
        <v>310</v>
      </c>
      <c r="N120" s="21">
        <v>300000</v>
      </c>
      <c r="O120" s="2" t="s">
        <v>76</v>
      </c>
      <c r="P120" s="2" t="s">
        <v>4</v>
      </c>
      <c r="Q120" s="2" t="s">
        <v>5</v>
      </c>
      <c r="R120" s="21">
        <f t="shared" si="9"/>
        <v>300000</v>
      </c>
      <c r="S120" s="21">
        <v>300000</v>
      </c>
      <c r="T120" s="5">
        <f t="shared" si="10"/>
        <v>15000</v>
      </c>
      <c r="U120">
        <f t="shared" si="11"/>
        <v>7</v>
      </c>
      <c r="V120">
        <f t="shared" si="12"/>
        <v>7</v>
      </c>
      <c r="W120" s="5">
        <f t="shared" si="13"/>
        <v>0</v>
      </c>
      <c r="X120" s="2" t="s">
        <v>6</v>
      </c>
      <c r="Y120" s="2" t="s">
        <v>2</v>
      </c>
      <c r="Z120">
        <v>740</v>
      </c>
      <c r="AC120">
        <f t="shared" si="14"/>
        <v>2024</v>
      </c>
      <c r="AD120">
        <f t="shared" si="15"/>
        <v>2024</v>
      </c>
      <c r="AE120">
        <f t="shared" si="16"/>
        <v>2024</v>
      </c>
      <c r="AF120">
        <f t="shared" si="17"/>
        <v>7</v>
      </c>
    </row>
    <row r="121" spans="1:32" x14ac:dyDescent="0.25">
      <c r="A121" s="20">
        <v>45502</v>
      </c>
      <c r="B121" s="2">
        <v>1107</v>
      </c>
      <c r="C121" s="19" t="s">
        <v>161</v>
      </c>
      <c r="D121" s="19" t="s">
        <v>2</v>
      </c>
      <c r="E121" s="19" t="s">
        <v>2</v>
      </c>
      <c r="F121" s="19" t="s">
        <v>504</v>
      </c>
      <c r="G121" s="19" t="s">
        <v>505</v>
      </c>
      <c r="H121" s="19" t="s">
        <v>506</v>
      </c>
      <c r="I121" s="19" t="s">
        <v>507</v>
      </c>
      <c r="J121" s="2" t="s">
        <v>508</v>
      </c>
      <c r="K121" s="20">
        <v>45502</v>
      </c>
      <c r="L121" s="20">
        <v>45502</v>
      </c>
      <c r="M121" s="22">
        <v>100</v>
      </c>
      <c r="N121" s="21">
        <v>97000</v>
      </c>
      <c r="O121" s="2" t="s">
        <v>76</v>
      </c>
      <c r="P121" s="2" t="s">
        <v>4</v>
      </c>
      <c r="Q121" s="2" t="s">
        <v>5</v>
      </c>
      <c r="R121" s="21">
        <f t="shared" si="9"/>
        <v>97000</v>
      </c>
      <c r="S121" s="21">
        <v>97000</v>
      </c>
      <c r="T121" s="5">
        <f t="shared" si="10"/>
        <v>15000</v>
      </c>
      <c r="U121">
        <f t="shared" si="11"/>
        <v>7</v>
      </c>
      <c r="V121">
        <f t="shared" si="12"/>
        <v>7</v>
      </c>
      <c r="W121" s="5">
        <f t="shared" si="13"/>
        <v>0</v>
      </c>
      <c r="X121" s="2" t="s">
        <v>6</v>
      </c>
      <c r="Y121" s="2" t="s">
        <v>2</v>
      </c>
      <c r="Z121">
        <v>744</v>
      </c>
      <c r="AC121">
        <f t="shared" si="14"/>
        <v>2024</v>
      </c>
      <c r="AD121">
        <f t="shared" si="15"/>
        <v>2024</v>
      </c>
      <c r="AE121">
        <f t="shared" si="16"/>
        <v>2024</v>
      </c>
      <c r="AF121">
        <f t="shared" si="17"/>
        <v>7</v>
      </c>
    </row>
    <row r="122" spans="1:32" x14ac:dyDescent="0.25">
      <c r="A122" s="20">
        <v>45502</v>
      </c>
      <c r="B122" s="2">
        <v>1108</v>
      </c>
      <c r="C122" s="19" t="s">
        <v>0</v>
      </c>
      <c r="D122" s="19" t="s">
        <v>111</v>
      </c>
      <c r="E122" s="19" t="s">
        <v>509</v>
      </c>
      <c r="F122" s="19" t="s">
        <v>510</v>
      </c>
      <c r="G122" s="19" t="s">
        <v>511</v>
      </c>
      <c r="H122" s="19" t="s">
        <v>512</v>
      </c>
      <c r="I122" s="19" t="s">
        <v>513</v>
      </c>
      <c r="J122" s="2" t="s">
        <v>514</v>
      </c>
      <c r="K122" s="20">
        <v>45530</v>
      </c>
      <c r="L122" s="20">
        <v>45518</v>
      </c>
      <c r="M122" s="22">
        <v>208</v>
      </c>
      <c r="N122" s="21">
        <v>290500</v>
      </c>
      <c r="O122" s="2" t="s">
        <v>76</v>
      </c>
      <c r="P122" s="2" t="s">
        <v>4</v>
      </c>
      <c r="Q122" s="2" t="s">
        <v>5</v>
      </c>
      <c r="R122" s="21">
        <f t="shared" si="9"/>
        <v>290500</v>
      </c>
      <c r="S122" s="21">
        <v>290500</v>
      </c>
      <c r="T122" s="5">
        <f t="shared" si="10"/>
        <v>15000</v>
      </c>
      <c r="U122">
        <f t="shared" si="11"/>
        <v>8</v>
      </c>
      <c r="V122">
        <f t="shared" si="12"/>
        <v>7</v>
      </c>
      <c r="W122" s="5">
        <f t="shared" si="13"/>
        <v>0</v>
      </c>
      <c r="X122" s="2" t="s">
        <v>6</v>
      </c>
      <c r="Y122" s="2" t="s">
        <v>2</v>
      </c>
      <c r="AA122" t="s">
        <v>1540</v>
      </c>
      <c r="AC122">
        <f t="shared" si="14"/>
        <v>2024</v>
      </c>
      <c r="AD122">
        <f t="shared" si="15"/>
        <v>2024</v>
      </c>
      <c r="AE122">
        <f t="shared" si="16"/>
        <v>2024</v>
      </c>
      <c r="AF122">
        <f t="shared" si="17"/>
        <v>8</v>
      </c>
    </row>
    <row r="123" spans="1:32" x14ac:dyDescent="0.25">
      <c r="A123" s="20">
        <v>45502</v>
      </c>
      <c r="B123" s="2">
        <v>1109</v>
      </c>
      <c r="C123" s="19" t="s">
        <v>0</v>
      </c>
      <c r="D123" s="19" t="s">
        <v>111</v>
      </c>
      <c r="E123" s="19" t="s">
        <v>509</v>
      </c>
      <c r="F123" s="19" t="s">
        <v>515</v>
      </c>
      <c r="G123" s="19" t="s">
        <v>511</v>
      </c>
      <c r="H123" s="19" t="s">
        <v>516</v>
      </c>
      <c r="I123" s="19" t="s">
        <v>517</v>
      </c>
      <c r="J123" s="2" t="s">
        <v>518</v>
      </c>
      <c r="K123" s="20">
        <v>45530</v>
      </c>
      <c r="L123" s="20">
        <v>45518</v>
      </c>
      <c r="M123" s="22">
        <v>42</v>
      </c>
      <c r="N123" s="21">
        <v>58100</v>
      </c>
      <c r="O123" s="2" t="s">
        <v>76</v>
      </c>
      <c r="P123" s="2" t="s">
        <v>4</v>
      </c>
      <c r="Q123" s="2" t="s">
        <v>5</v>
      </c>
      <c r="R123" s="21">
        <f t="shared" si="9"/>
        <v>58100</v>
      </c>
      <c r="S123" s="21">
        <v>58100</v>
      </c>
      <c r="T123" s="5">
        <f t="shared" si="10"/>
        <v>15000</v>
      </c>
      <c r="U123">
        <f t="shared" si="11"/>
        <v>8</v>
      </c>
      <c r="V123">
        <f t="shared" si="12"/>
        <v>7</v>
      </c>
      <c r="W123" s="5">
        <f t="shared" si="13"/>
        <v>0</v>
      </c>
      <c r="X123" s="2" t="s">
        <v>6</v>
      </c>
      <c r="Y123" s="2" t="s">
        <v>2</v>
      </c>
      <c r="AA123" t="s">
        <v>1541</v>
      </c>
      <c r="AC123">
        <f t="shared" si="14"/>
        <v>2024</v>
      </c>
      <c r="AD123">
        <f t="shared" si="15"/>
        <v>2024</v>
      </c>
      <c r="AE123">
        <f t="shared" si="16"/>
        <v>2024</v>
      </c>
      <c r="AF123">
        <f t="shared" si="17"/>
        <v>8</v>
      </c>
    </row>
    <row r="124" spans="1:32" x14ac:dyDescent="0.25">
      <c r="A124" s="20">
        <v>45502</v>
      </c>
      <c r="B124" s="2">
        <v>1110</v>
      </c>
      <c r="C124" s="19" t="s">
        <v>0</v>
      </c>
      <c r="D124" s="19" t="s">
        <v>111</v>
      </c>
      <c r="E124" s="19" t="s">
        <v>509</v>
      </c>
      <c r="F124" s="19" t="s">
        <v>519</v>
      </c>
      <c r="G124" s="19" t="s">
        <v>511</v>
      </c>
      <c r="H124" s="19" t="s">
        <v>520</v>
      </c>
      <c r="I124" s="19" t="s">
        <v>521</v>
      </c>
      <c r="J124" s="2" t="s">
        <v>522</v>
      </c>
      <c r="K124" s="20">
        <v>45530</v>
      </c>
      <c r="L124" s="20">
        <v>45518</v>
      </c>
      <c r="M124" s="22">
        <v>332</v>
      </c>
      <c r="N124" s="21">
        <v>464800</v>
      </c>
      <c r="O124" s="2" t="s">
        <v>76</v>
      </c>
      <c r="P124" s="2" t="s">
        <v>4</v>
      </c>
      <c r="Q124" s="2" t="s">
        <v>5</v>
      </c>
      <c r="R124" s="21">
        <f t="shared" si="9"/>
        <v>464800</v>
      </c>
      <c r="S124" s="21">
        <v>464800</v>
      </c>
      <c r="T124" s="5">
        <f t="shared" si="10"/>
        <v>15000</v>
      </c>
      <c r="U124">
        <f t="shared" si="11"/>
        <v>8</v>
      </c>
      <c r="V124">
        <f t="shared" si="12"/>
        <v>7</v>
      </c>
      <c r="W124" s="5">
        <f t="shared" si="13"/>
        <v>0</v>
      </c>
      <c r="X124" s="2" t="s">
        <v>6</v>
      </c>
      <c r="Y124" s="2" t="s">
        <v>2</v>
      </c>
      <c r="AA124" t="s">
        <v>1542</v>
      </c>
      <c r="AC124">
        <f t="shared" si="14"/>
        <v>2024</v>
      </c>
      <c r="AD124">
        <f t="shared" si="15"/>
        <v>2024</v>
      </c>
      <c r="AE124">
        <f t="shared" si="16"/>
        <v>2024</v>
      </c>
      <c r="AF124">
        <f t="shared" si="17"/>
        <v>8</v>
      </c>
    </row>
    <row r="125" spans="1:32" x14ac:dyDescent="0.25">
      <c r="A125" s="20">
        <v>45504</v>
      </c>
      <c r="B125" s="2">
        <v>1111</v>
      </c>
      <c r="C125" s="19" t="s">
        <v>523</v>
      </c>
      <c r="D125" s="19" t="s">
        <v>2</v>
      </c>
      <c r="E125" s="19" t="s">
        <v>2</v>
      </c>
      <c r="F125" s="19" t="s">
        <v>524</v>
      </c>
      <c r="G125" s="19" t="s">
        <v>525</v>
      </c>
      <c r="H125" s="19" t="s">
        <v>526</v>
      </c>
      <c r="I125" s="19" t="s">
        <v>527</v>
      </c>
      <c r="J125" s="2" t="s">
        <v>2</v>
      </c>
      <c r="K125" s="20">
        <v>45524</v>
      </c>
      <c r="L125" s="20">
        <v>45509</v>
      </c>
      <c r="M125" s="22">
        <v>330</v>
      </c>
      <c r="N125" s="21">
        <v>319400</v>
      </c>
      <c r="O125" s="2" t="s">
        <v>76</v>
      </c>
      <c r="P125" s="2" t="s">
        <v>4</v>
      </c>
      <c r="Q125" s="2" t="s">
        <v>5</v>
      </c>
      <c r="R125" s="21">
        <f t="shared" si="9"/>
        <v>319400</v>
      </c>
      <c r="S125" s="21">
        <v>319400</v>
      </c>
      <c r="T125" s="5">
        <f t="shared" si="10"/>
        <v>15000</v>
      </c>
      <c r="U125">
        <f t="shared" si="11"/>
        <v>8</v>
      </c>
      <c r="V125">
        <f t="shared" si="12"/>
        <v>7</v>
      </c>
      <c r="W125" s="5">
        <f t="shared" si="13"/>
        <v>0</v>
      </c>
      <c r="X125" s="2" t="s">
        <v>6</v>
      </c>
      <c r="Y125" s="2" t="s">
        <v>2</v>
      </c>
      <c r="Z125">
        <v>748</v>
      </c>
      <c r="AC125">
        <f t="shared" si="14"/>
        <v>2024</v>
      </c>
      <c r="AD125">
        <f t="shared" si="15"/>
        <v>2024</v>
      </c>
      <c r="AE125">
        <f t="shared" si="16"/>
        <v>2024</v>
      </c>
      <c r="AF125">
        <f t="shared" si="17"/>
        <v>8</v>
      </c>
    </row>
    <row r="126" spans="1:32" x14ac:dyDescent="0.25">
      <c r="A126" s="20">
        <v>45504</v>
      </c>
      <c r="B126" s="2">
        <v>1112</v>
      </c>
      <c r="C126" s="19" t="s">
        <v>528</v>
      </c>
      <c r="D126" s="19" t="s">
        <v>2</v>
      </c>
      <c r="E126" s="19" t="s">
        <v>2</v>
      </c>
      <c r="F126" s="19" t="s">
        <v>524</v>
      </c>
      <c r="G126" s="19" t="s">
        <v>525</v>
      </c>
      <c r="H126" s="19" t="s">
        <v>526</v>
      </c>
      <c r="I126" s="19" t="s">
        <v>529</v>
      </c>
      <c r="J126" s="2" t="s">
        <v>2</v>
      </c>
      <c r="K126" s="20">
        <v>45516</v>
      </c>
      <c r="L126" s="20">
        <v>45510</v>
      </c>
      <c r="M126" s="22">
        <v>306</v>
      </c>
      <c r="N126" s="21">
        <v>297350</v>
      </c>
      <c r="O126" s="2" t="s">
        <v>76</v>
      </c>
      <c r="P126" s="2" t="s">
        <v>4</v>
      </c>
      <c r="Q126" s="2" t="s">
        <v>5</v>
      </c>
      <c r="R126" s="21">
        <f t="shared" si="9"/>
        <v>297350</v>
      </c>
      <c r="S126" s="21">
        <v>297350</v>
      </c>
      <c r="T126" s="5">
        <f t="shared" si="10"/>
        <v>15000</v>
      </c>
      <c r="U126">
        <f t="shared" si="11"/>
        <v>8</v>
      </c>
      <c r="V126">
        <f t="shared" si="12"/>
        <v>7</v>
      </c>
      <c r="W126" s="5">
        <f t="shared" si="13"/>
        <v>0</v>
      </c>
      <c r="X126" s="2" t="s">
        <v>6</v>
      </c>
      <c r="Y126" s="2" t="s">
        <v>2</v>
      </c>
      <c r="Z126">
        <v>747</v>
      </c>
      <c r="AA126" t="s">
        <v>1543</v>
      </c>
      <c r="AC126">
        <f t="shared" si="14"/>
        <v>2024</v>
      </c>
      <c r="AD126">
        <f t="shared" si="15"/>
        <v>2024</v>
      </c>
      <c r="AE126">
        <f t="shared" si="16"/>
        <v>2024</v>
      </c>
      <c r="AF126">
        <f t="shared" si="17"/>
        <v>8</v>
      </c>
    </row>
    <row r="127" spans="1:32" x14ac:dyDescent="0.25">
      <c r="A127" s="20">
        <v>45507</v>
      </c>
      <c r="B127" s="2">
        <v>1113</v>
      </c>
      <c r="C127" s="19" t="s">
        <v>530</v>
      </c>
      <c r="D127" s="19" t="s">
        <v>2</v>
      </c>
      <c r="E127" s="19" t="s">
        <v>2</v>
      </c>
      <c r="F127" s="19" t="s">
        <v>531</v>
      </c>
      <c r="G127" s="19" t="s">
        <v>532</v>
      </c>
      <c r="H127" s="19" t="s">
        <v>533</v>
      </c>
      <c r="I127" s="19" t="s">
        <v>534</v>
      </c>
      <c r="J127" s="2" t="s">
        <v>2</v>
      </c>
      <c r="K127" s="20">
        <v>45518</v>
      </c>
      <c r="L127" s="20">
        <v>45508</v>
      </c>
      <c r="M127" s="22">
        <v>370</v>
      </c>
      <c r="N127" s="21">
        <v>358900</v>
      </c>
      <c r="O127" s="2" t="s">
        <v>76</v>
      </c>
      <c r="P127" s="2" t="s">
        <v>4</v>
      </c>
      <c r="Q127" s="2" t="s">
        <v>5</v>
      </c>
      <c r="R127" s="21">
        <f t="shared" si="9"/>
        <v>358900</v>
      </c>
      <c r="S127" s="21">
        <v>358900</v>
      </c>
      <c r="T127" s="5">
        <f t="shared" si="10"/>
        <v>15000</v>
      </c>
      <c r="U127">
        <f t="shared" si="11"/>
        <v>8</v>
      </c>
      <c r="V127">
        <f t="shared" si="12"/>
        <v>8</v>
      </c>
      <c r="W127" s="5">
        <f t="shared" si="13"/>
        <v>0</v>
      </c>
      <c r="X127" s="2" t="s">
        <v>6</v>
      </c>
      <c r="Y127" s="2" t="s">
        <v>2</v>
      </c>
      <c r="AA127" t="s">
        <v>1544</v>
      </c>
      <c r="AC127">
        <f t="shared" si="14"/>
        <v>2024</v>
      </c>
      <c r="AD127">
        <f t="shared" si="15"/>
        <v>2024</v>
      </c>
      <c r="AE127">
        <f t="shared" si="16"/>
        <v>2024</v>
      </c>
      <c r="AF127">
        <f t="shared" si="17"/>
        <v>8</v>
      </c>
    </row>
    <row r="128" spans="1:32" x14ac:dyDescent="0.25">
      <c r="A128" s="59">
        <v>45510</v>
      </c>
      <c r="B128" s="2">
        <v>1114</v>
      </c>
      <c r="C128" s="19" t="s">
        <v>536</v>
      </c>
      <c r="D128" s="19" t="s">
        <v>2</v>
      </c>
      <c r="E128" s="19" t="s">
        <v>2</v>
      </c>
      <c r="F128" s="19" t="s">
        <v>399</v>
      </c>
      <c r="G128" s="19" t="s">
        <v>351</v>
      </c>
      <c r="H128" s="19" t="s">
        <v>430</v>
      </c>
      <c r="I128" s="19" t="s">
        <v>537</v>
      </c>
      <c r="J128" s="2" t="s">
        <v>2</v>
      </c>
      <c r="K128" s="20">
        <v>45510</v>
      </c>
      <c r="L128" s="20">
        <v>45511</v>
      </c>
      <c r="M128" s="22">
        <v>143</v>
      </c>
      <c r="N128" s="21">
        <v>139500</v>
      </c>
      <c r="O128" s="2" t="s">
        <v>76</v>
      </c>
      <c r="P128" s="2" t="s">
        <v>4</v>
      </c>
      <c r="Q128" s="2" t="s">
        <v>5</v>
      </c>
      <c r="R128" s="21">
        <f t="shared" si="9"/>
        <v>139500</v>
      </c>
      <c r="S128" s="21">
        <v>139500</v>
      </c>
      <c r="T128" s="5">
        <f t="shared" si="10"/>
        <v>15000</v>
      </c>
      <c r="U128">
        <f t="shared" si="11"/>
        <v>8</v>
      </c>
      <c r="V128">
        <f t="shared" si="12"/>
        <v>8</v>
      </c>
      <c r="W128" s="5">
        <f t="shared" si="13"/>
        <v>0</v>
      </c>
      <c r="X128" s="2" t="s">
        <v>6</v>
      </c>
      <c r="Y128" s="2" t="s">
        <v>2</v>
      </c>
      <c r="Z128">
        <v>745</v>
      </c>
      <c r="AC128">
        <f t="shared" si="14"/>
        <v>2024</v>
      </c>
      <c r="AD128">
        <f t="shared" si="15"/>
        <v>2024</v>
      </c>
      <c r="AE128">
        <f t="shared" si="16"/>
        <v>2024</v>
      </c>
      <c r="AF128">
        <f t="shared" si="17"/>
        <v>8</v>
      </c>
    </row>
    <row r="129" spans="1:32" x14ac:dyDescent="0.25">
      <c r="A129" s="59">
        <v>45517.125</v>
      </c>
      <c r="B129" s="2">
        <v>1115</v>
      </c>
      <c r="C129" s="19" t="s">
        <v>0</v>
      </c>
      <c r="D129" s="19" t="s">
        <v>111</v>
      </c>
      <c r="E129" s="19" t="s">
        <v>2</v>
      </c>
      <c r="F129" s="19" t="s">
        <v>538</v>
      </c>
      <c r="G129" s="19" t="s">
        <v>539</v>
      </c>
      <c r="H129" s="19" t="s">
        <v>540</v>
      </c>
      <c r="I129" s="19" t="s">
        <v>541</v>
      </c>
      <c r="J129" s="2" t="s">
        <v>542</v>
      </c>
      <c r="K129" s="20">
        <v>45544.125</v>
      </c>
      <c r="L129" s="20">
        <v>45551.125</v>
      </c>
      <c r="M129" s="22">
        <v>294</v>
      </c>
      <c r="N129" s="21">
        <v>353995</v>
      </c>
      <c r="O129" s="2" t="s">
        <v>76</v>
      </c>
      <c r="P129" s="2" t="s">
        <v>4</v>
      </c>
      <c r="Q129" s="2" t="s">
        <v>5</v>
      </c>
      <c r="R129" s="21">
        <f t="shared" si="9"/>
        <v>353995</v>
      </c>
      <c r="S129" s="21">
        <v>353995</v>
      </c>
      <c r="T129" s="5">
        <f t="shared" si="10"/>
        <v>15000</v>
      </c>
      <c r="U129">
        <f t="shared" si="11"/>
        <v>9</v>
      </c>
      <c r="V129">
        <f t="shared" si="12"/>
        <v>8</v>
      </c>
      <c r="W129" s="5">
        <f t="shared" si="13"/>
        <v>0</v>
      </c>
      <c r="X129" s="2" t="s">
        <v>6</v>
      </c>
      <c r="Y129" s="2" t="s">
        <v>2</v>
      </c>
      <c r="AA129" t="s">
        <v>1545</v>
      </c>
      <c r="AC129">
        <f t="shared" si="14"/>
        <v>2024</v>
      </c>
      <c r="AD129">
        <f t="shared" si="15"/>
        <v>2024</v>
      </c>
      <c r="AE129">
        <f t="shared" si="16"/>
        <v>2024</v>
      </c>
      <c r="AF129">
        <f t="shared" si="17"/>
        <v>9</v>
      </c>
    </row>
    <row r="130" spans="1:32" x14ac:dyDescent="0.25">
      <c r="A130" s="59">
        <v>45519</v>
      </c>
      <c r="B130" s="2">
        <v>1116</v>
      </c>
      <c r="C130" s="19" t="s">
        <v>1732</v>
      </c>
      <c r="D130" s="19" t="s">
        <v>2</v>
      </c>
      <c r="E130" s="19" t="s">
        <v>2</v>
      </c>
      <c r="F130" s="19" t="s">
        <v>106</v>
      </c>
      <c r="G130" s="19" t="s">
        <v>456</v>
      </c>
      <c r="H130" s="19" t="s">
        <v>543</v>
      </c>
      <c r="I130" s="19" t="s">
        <v>544</v>
      </c>
      <c r="J130" s="2" t="s">
        <v>2</v>
      </c>
      <c r="K130" s="20">
        <v>45519</v>
      </c>
      <c r="L130" s="20">
        <v>45519</v>
      </c>
      <c r="M130" s="22">
        <v>400</v>
      </c>
      <c r="N130" s="21">
        <v>388000</v>
      </c>
      <c r="O130" s="2" t="s">
        <v>76</v>
      </c>
      <c r="P130" s="2" t="s">
        <v>4</v>
      </c>
      <c r="Q130" s="2" t="s">
        <v>5</v>
      </c>
      <c r="R130" s="21">
        <f t="shared" ref="R130:R193" si="18">IF(Q130="Aceptado",N130,0)</f>
        <v>388000</v>
      </c>
      <c r="S130" s="21">
        <v>388000</v>
      </c>
      <c r="T130" s="5">
        <f t="shared" ref="T130:T193" si="19">IFERROR(+T129+R130-S130,0)</f>
        <v>15000</v>
      </c>
      <c r="U130">
        <f t="shared" ref="U130:U193" si="20">IF(NOT(ISBLANK(K130)),MONTH(K130),"")</f>
        <v>8</v>
      </c>
      <c r="V130">
        <f t="shared" ref="V130:V193" si="21">IF(NOT(ISBLANK(A130)),MONTH(A130),"")</f>
        <v>8</v>
      </c>
      <c r="W130" s="5">
        <f t="shared" ref="W130:W193" si="22">IFERROR(+S130-R130,0)</f>
        <v>0</v>
      </c>
      <c r="X130" s="2" t="s">
        <v>6</v>
      </c>
      <c r="Y130" s="2" t="s">
        <v>2</v>
      </c>
      <c r="Z130">
        <v>746</v>
      </c>
      <c r="AA130" t="s">
        <v>1546</v>
      </c>
      <c r="AC130">
        <f t="shared" ref="AC130:AC193" si="23">IF(NOT(ISBLANK(K130)),YEAR(K130),"")</f>
        <v>2024</v>
      </c>
      <c r="AD130">
        <f t="shared" ref="AD130:AD193" si="24">IF(NOT(ISBLANK(A130)),YEAR(A130),"")</f>
        <v>2024</v>
      </c>
      <c r="AE130">
        <f t="shared" ref="AE130:AE193" si="25">IF(NOT(ISBLANK(L130)),YEAR(L130),"")</f>
        <v>2024</v>
      </c>
      <c r="AF130">
        <f t="shared" ref="AF130:AF193" si="26">IF(NOT(ISBLANK(L130)),MONTH(L130),"")</f>
        <v>8</v>
      </c>
    </row>
    <row r="131" spans="1:32" x14ac:dyDescent="0.25">
      <c r="A131" s="59">
        <v>45523</v>
      </c>
      <c r="B131" s="2">
        <v>1117</v>
      </c>
      <c r="C131" s="19" t="s">
        <v>98</v>
      </c>
      <c r="D131" s="19" t="s">
        <v>2</v>
      </c>
      <c r="E131" s="19" t="s">
        <v>2</v>
      </c>
      <c r="F131" s="19" t="s">
        <v>545</v>
      </c>
      <c r="G131" s="19" t="s">
        <v>546</v>
      </c>
      <c r="H131" s="19" t="s">
        <v>547</v>
      </c>
      <c r="I131" s="19" t="s">
        <v>548</v>
      </c>
      <c r="J131" s="2" t="s">
        <v>2</v>
      </c>
      <c r="K131" s="20">
        <v>45530</v>
      </c>
      <c r="L131" s="20">
        <v>45530</v>
      </c>
      <c r="M131" s="22">
        <v>420</v>
      </c>
      <c r="N131" s="21">
        <v>411600</v>
      </c>
      <c r="O131" s="2" t="s">
        <v>76</v>
      </c>
      <c r="P131" s="2" t="s">
        <v>4</v>
      </c>
      <c r="Q131" s="2" t="s">
        <v>5</v>
      </c>
      <c r="R131" s="21">
        <f t="shared" si="18"/>
        <v>411600</v>
      </c>
      <c r="S131" s="21">
        <v>411600</v>
      </c>
      <c r="T131" s="5">
        <f t="shared" si="19"/>
        <v>15000</v>
      </c>
      <c r="U131">
        <f t="shared" si="20"/>
        <v>8</v>
      </c>
      <c r="V131">
        <f t="shared" si="21"/>
        <v>8</v>
      </c>
      <c r="W131" s="5">
        <f t="shared" si="22"/>
        <v>0</v>
      </c>
      <c r="X131" s="2" t="s">
        <v>6</v>
      </c>
      <c r="Y131" s="2" t="s">
        <v>2</v>
      </c>
      <c r="Z131">
        <v>749</v>
      </c>
      <c r="AC131">
        <f t="shared" si="23"/>
        <v>2024</v>
      </c>
      <c r="AD131">
        <f t="shared" si="24"/>
        <v>2024</v>
      </c>
      <c r="AE131">
        <f t="shared" si="25"/>
        <v>2024</v>
      </c>
      <c r="AF131">
        <f t="shared" si="26"/>
        <v>8</v>
      </c>
    </row>
    <row r="132" spans="1:32" x14ac:dyDescent="0.25">
      <c r="A132" s="59">
        <v>45525</v>
      </c>
      <c r="B132" s="2">
        <v>1118</v>
      </c>
      <c r="C132" s="19" t="s">
        <v>549</v>
      </c>
      <c r="D132" s="19" t="s">
        <v>2</v>
      </c>
      <c r="E132" s="19" t="s">
        <v>2</v>
      </c>
      <c r="F132" s="19" t="s">
        <v>448</v>
      </c>
      <c r="G132" s="19" t="s">
        <v>550</v>
      </c>
      <c r="H132" s="19" t="s">
        <v>551</v>
      </c>
      <c r="I132" s="19" t="s">
        <v>552</v>
      </c>
      <c r="J132" s="2" t="s">
        <v>2</v>
      </c>
      <c r="K132" s="20">
        <v>45537</v>
      </c>
      <c r="L132" s="20">
        <v>45530</v>
      </c>
      <c r="M132" s="22">
        <v>89</v>
      </c>
      <c r="N132" s="21">
        <v>87500</v>
      </c>
      <c r="O132" s="2" t="s">
        <v>76</v>
      </c>
      <c r="P132" s="2" t="s">
        <v>4</v>
      </c>
      <c r="Q132" s="2" t="s">
        <v>5</v>
      </c>
      <c r="R132" s="21">
        <f t="shared" si="18"/>
        <v>87500</v>
      </c>
      <c r="S132" s="21">
        <v>87500</v>
      </c>
      <c r="T132" s="5">
        <f t="shared" si="19"/>
        <v>15000</v>
      </c>
      <c r="U132">
        <f t="shared" si="20"/>
        <v>9</v>
      </c>
      <c r="V132">
        <f t="shared" si="21"/>
        <v>8</v>
      </c>
      <c r="W132" s="5">
        <f t="shared" si="22"/>
        <v>0</v>
      </c>
      <c r="X132" s="2" t="s">
        <v>6</v>
      </c>
      <c r="Y132" s="2" t="s">
        <v>2</v>
      </c>
      <c r="AC132">
        <f t="shared" si="23"/>
        <v>2024</v>
      </c>
      <c r="AD132">
        <f t="shared" si="24"/>
        <v>2024</v>
      </c>
      <c r="AE132">
        <f t="shared" si="25"/>
        <v>2024</v>
      </c>
      <c r="AF132">
        <f t="shared" si="26"/>
        <v>8</v>
      </c>
    </row>
    <row r="133" spans="1:32" x14ac:dyDescent="0.25">
      <c r="A133" s="59">
        <v>45530</v>
      </c>
      <c r="B133" s="2">
        <v>1119</v>
      </c>
      <c r="C133" s="19" t="s">
        <v>0</v>
      </c>
      <c r="D133" s="19" t="s">
        <v>111</v>
      </c>
      <c r="E133" s="19" t="s">
        <v>2</v>
      </c>
      <c r="F133" s="19" t="s">
        <v>553</v>
      </c>
      <c r="G133" s="19" t="s">
        <v>554</v>
      </c>
      <c r="H133" s="19" t="s">
        <v>2</v>
      </c>
      <c r="I133" s="19" t="s">
        <v>555</v>
      </c>
      <c r="J133" s="2" t="s">
        <v>2</v>
      </c>
      <c r="K133" s="20">
        <v>45530</v>
      </c>
      <c r="L133" s="20">
        <v>45592</v>
      </c>
      <c r="M133" s="22">
        <v>310</v>
      </c>
      <c r="N133" s="21">
        <v>310000</v>
      </c>
      <c r="O133" s="2" t="s">
        <v>76</v>
      </c>
      <c r="P133" s="2" t="s">
        <v>556</v>
      </c>
      <c r="Q133" s="2" t="s">
        <v>5</v>
      </c>
      <c r="R133" s="21">
        <f t="shared" si="18"/>
        <v>310000</v>
      </c>
      <c r="S133" s="21">
        <v>310000</v>
      </c>
      <c r="T133" s="5">
        <f t="shared" si="19"/>
        <v>15000</v>
      </c>
      <c r="U133">
        <f t="shared" si="20"/>
        <v>8</v>
      </c>
      <c r="V133">
        <f t="shared" si="21"/>
        <v>8</v>
      </c>
      <c r="W133" s="5">
        <f t="shared" si="22"/>
        <v>0</v>
      </c>
      <c r="X133" s="2" t="s">
        <v>6</v>
      </c>
      <c r="Y133" s="2" t="s">
        <v>2</v>
      </c>
      <c r="AA133" t="s">
        <v>1547</v>
      </c>
      <c r="AC133">
        <f t="shared" si="23"/>
        <v>2024</v>
      </c>
      <c r="AD133">
        <f t="shared" si="24"/>
        <v>2024</v>
      </c>
      <c r="AE133">
        <f t="shared" si="25"/>
        <v>2024</v>
      </c>
      <c r="AF133">
        <f t="shared" si="26"/>
        <v>10</v>
      </c>
    </row>
    <row r="134" spans="1:32" x14ac:dyDescent="0.25">
      <c r="A134" s="59">
        <v>45530</v>
      </c>
      <c r="B134" s="2">
        <v>1120</v>
      </c>
      <c r="C134" s="19" t="s">
        <v>0</v>
      </c>
      <c r="D134" s="19" t="s">
        <v>111</v>
      </c>
      <c r="E134" s="19" t="s">
        <v>2</v>
      </c>
      <c r="F134" s="19" t="s">
        <v>557</v>
      </c>
      <c r="G134" s="19" t="s">
        <v>554</v>
      </c>
      <c r="H134" s="19" t="s">
        <v>2</v>
      </c>
      <c r="I134" s="19" t="s">
        <v>558</v>
      </c>
      <c r="J134" s="2" t="s">
        <v>2</v>
      </c>
      <c r="K134" s="20">
        <v>45530</v>
      </c>
      <c r="L134" s="20">
        <v>45593</v>
      </c>
      <c r="M134" s="22">
        <v>0</v>
      </c>
      <c r="N134" s="21">
        <v>0</v>
      </c>
      <c r="O134" s="2" t="s">
        <v>76</v>
      </c>
      <c r="P134" s="2" t="s">
        <v>556</v>
      </c>
      <c r="Q134" s="2" t="s">
        <v>5</v>
      </c>
      <c r="R134" s="21">
        <f t="shared" si="18"/>
        <v>0</v>
      </c>
      <c r="S134" s="21">
        <v>0</v>
      </c>
      <c r="T134" s="5">
        <f t="shared" si="19"/>
        <v>15000</v>
      </c>
      <c r="U134">
        <f t="shared" si="20"/>
        <v>8</v>
      </c>
      <c r="V134">
        <f t="shared" si="21"/>
        <v>8</v>
      </c>
      <c r="W134" s="5">
        <f t="shared" si="22"/>
        <v>0</v>
      </c>
      <c r="X134" s="2" t="s">
        <v>6</v>
      </c>
      <c r="Y134" s="2" t="s">
        <v>2</v>
      </c>
      <c r="AC134">
        <f t="shared" si="23"/>
        <v>2024</v>
      </c>
      <c r="AD134">
        <f t="shared" si="24"/>
        <v>2024</v>
      </c>
      <c r="AE134">
        <f t="shared" si="25"/>
        <v>2024</v>
      </c>
      <c r="AF134">
        <f t="shared" si="26"/>
        <v>10</v>
      </c>
    </row>
    <row r="135" spans="1:32" x14ac:dyDescent="0.25">
      <c r="A135" s="59">
        <v>45532</v>
      </c>
      <c r="B135" s="2">
        <v>1121</v>
      </c>
      <c r="C135" s="19" t="s">
        <v>559</v>
      </c>
      <c r="D135" s="19" t="s">
        <v>2</v>
      </c>
      <c r="E135" s="19" t="s">
        <v>2</v>
      </c>
      <c r="F135" s="19" t="s">
        <v>560</v>
      </c>
      <c r="G135" s="19" t="s">
        <v>561</v>
      </c>
      <c r="H135" s="19" t="s">
        <v>562</v>
      </c>
      <c r="I135" s="19" t="s">
        <v>563</v>
      </c>
      <c r="J135" s="2" t="s">
        <v>2</v>
      </c>
      <c r="K135" s="20">
        <v>45538</v>
      </c>
      <c r="L135" s="20">
        <v>45538</v>
      </c>
      <c r="M135" s="22">
        <v>115</v>
      </c>
      <c r="N135" s="21">
        <v>113000</v>
      </c>
      <c r="O135" s="2" t="s">
        <v>76</v>
      </c>
      <c r="P135" s="2" t="s">
        <v>4</v>
      </c>
      <c r="Q135" s="2" t="s">
        <v>5</v>
      </c>
      <c r="R135" s="21">
        <f t="shared" si="18"/>
        <v>113000</v>
      </c>
      <c r="S135" s="21">
        <v>113000</v>
      </c>
      <c r="T135" s="5">
        <f t="shared" si="19"/>
        <v>15000</v>
      </c>
      <c r="U135">
        <f t="shared" si="20"/>
        <v>9</v>
      </c>
      <c r="V135">
        <f t="shared" si="21"/>
        <v>8</v>
      </c>
      <c r="W135" s="5">
        <f t="shared" si="22"/>
        <v>0</v>
      </c>
      <c r="X135" s="2" t="s">
        <v>6</v>
      </c>
      <c r="Y135" s="2" t="s">
        <v>2</v>
      </c>
      <c r="Z135">
        <v>753</v>
      </c>
      <c r="AC135">
        <f t="shared" si="23"/>
        <v>2024</v>
      </c>
      <c r="AD135">
        <f t="shared" si="24"/>
        <v>2024</v>
      </c>
      <c r="AE135">
        <f t="shared" si="25"/>
        <v>2024</v>
      </c>
      <c r="AF135">
        <f t="shared" si="26"/>
        <v>9</v>
      </c>
    </row>
    <row r="136" spans="1:32" x14ac:dyDescent="0.25">
      <c r="A136" s="59">
        <v>45538</v>
      </c>
      <c r="B136" s="2">
        <v>1122</v>
      </c>
      <c r="C136" s="19" t="s">
        <v>564</v>
      </c>
      <c r="D136" s="19" t="s">
        <v>2</v>
      </c>
      <c r="E136" s="19" t="s">
        <v>2</v>
      </c>
      <c r="F136" s="19" t="s">
        <v>399</v>
      </c>
      <c r="G136" s="19" t="s">
        <v>94</v>
      </c>
      <c r="H136" s="19" t="s">
        <v>104</v>
      </c>
      <c r="I136" s="19" t="s">
        <v>565</v>
      </c>
      <c r="J136" s="2" t="s">
        <v>2</v>
      </c>
      <c r="K136" s="20">
        <v>45538</v>
      </c>
      <c r="L136" s="20">
        <v>45538</v>
      </c>
      <c r="M136" s="22">
        <v>160</v>
      </c>
      <c r="N136" s="21">
        <v>157500</v>
      </c>
      <c r="O136" s="2" t="s">
        <v>76</v>
      </c>
      <c r="P136" s="2" t="s">
        <v>4</v>
      </c>
      <c r="Q136" s="2" t="s">
        <v>5</v>
      </c>
      <c r="R136" s="21">
        <f t="shared" si="18"/>
        <v>157500</v>
      </c>
      <c r="S136" s="21">
        <v>157500</v>
      </c>
      <c r="T136" s="5">
        <f t="shared" si="19"/>
        <v>15000</v>
      </c>
      <c r="U136">
        <f t="shared" si="20"/>
        <v>9</v>
      </c>
      <c r="V136">
        <f t="shared" si="21"/>
        <v>9</v>
      </c>
      <c r="W136" s="5">
        <f t="shared" si="22"/>
        <v>0</v>
      </c>
      <c r="X136" s="2" t="s">
        <v>6</v>
      </c>
      <c r="Y136" s="2" t="s">
        <v>2</v>
      </c>
      <c r="Z136">
        <v>750</v>
      </c>
      <c r="AC136">
        <f t="shared" si="23"/>
        <v>2024</v>
      </c>
      <c r="AD136">
        <f t="shared" si="24"/>
        <v>2024</v>
      </c>
      <c r="AE136">
        <f t="shared" si="25"/>
        <v>2024</v>
      </c>
      <c r="AF136">
        <f t="shared" si="26"/>
        <v>9</v>
      </c>
    </row>
    <row r="137" spans="1:32" x14ac:dyDescent="0.25">
      <c r="A137" s="59">
        <v>45538</v>
      </c>
      <c r="B137" s="2">
        <v>1123</v>
      </c>
      <c r="C137" s="19" t="s">
        <v>218</v>
      </c>
      <c r="D137" s="19" t="s">
        <v>2</v>
      </c>
      <c r="E137" s="19" t="s">
        <v>2</v>
      </c>
      <c r="F137" s="19" t="s">
        <v>566</v>
      </c>
      <c r="G137" s="19" t="s">
        <v>0</v>
      </c>
      <c r="H137" s="19" t="s">
        <v>567</v>
      </c>
      <c r="I137" s="19" t="s">
        <v>568</v>
      </c>
      <c r="J137" s="2" t="s">
        <v>2</v>
      </c>
      <c r="K137" s="20">
        <v>45539</v>
      </c>
      <c r="L137" s="20">
        <v>45539</v>
      </c>
      <c r="M137" s="22">
        <v>31</v>
      </c>
      <c r="N137" s="21">
        <v>30596</v>
      </c>
      <c r="O137" s="2" t="s">
        <v>76</v>
      </c>
      <c r="P137" s="2" t="s">
        <v>556</v>
      </c>
      <c r="Q137" s="2" t="s">
        <v>5</v>
      </c>
      <c r="R137" s="21">
        <f t="shared" si="18"/>
        <v>30596</v>
      </c>
      <c r="S137" s="21">
        <v>30596</v>
      </c>
      <c r="T137" s="5">
        <f t="shared" si="19"/>
        <v>15000</v>
      </c>
      <c r="U137">
        <f t="shared" si="20"/>
        <v>9</v>
      </c>
      <c r="V137">
        <f t="shared" si="21"/>
        <v>9</v>
      </c>
      <c r="W137" s="5">
        <f t="shared" si="22"/>
        <v>0</v>
      </c>
      <c r="X137" s="2" t="s">
        <v>6</v>
      </c>
      <c r="Y137" s="2" t="s">
        <v>2</v>
      </c>
      <c r="Z137">
        <v>760</v>
      </c>
      <c r="AA137" t="s">
        <v>1548</v>
      </c>
      <c r="AC137">
        <f t="shared" si="23"/>
        <v>2024</v>
      </c>
      <c r="AD137">
        <f t="shared" si="24"/>
        <v>2024</v>
      </c>
      <c r="AE137">
        <f t="shared" si="25"/>
        <v>2024</v>
      </c>
      <c r="AF137">
        <f t="shared" si="26"/>
        <v>9</v>
      </c>
    </row>
    <row r="138" spans="1:32" x14ac:dyDescent="0.25">
      <c r="A138" s="59">
        <v>45538</v>
      </c>
      <c r="B138" s="2">
        <v>1124</v>
      </c>
      <c r="C138" s="19" t="s">
        <v>103</v>
      </c>
      <c r="D138" s="19" t="s">
        <v>2</v>
      </c>
      <c r="E138" s="19" t="s">
        <v>2</v>
      </c>
      <c r="F138" s="19" t="s">
        <v>326</v>
      </c>
      <c r="G138" s="19" t="s">
        <v>327</v>
      </c>
      <c r="H138" s="19" t="s">
        <v>328</v>
      </c>
      <c r="I138" s="19" t="s">
        <v>569</v>
      </c>
      <c r="J138" s="2" t="s">
        <v>2</v>
      </c>
      <c r="K138" s="20">
        <v>45539</v>
      </c>
      <c r="L138" s="20">
        <v>45539</v>
      </c>
      <c r="M138" s="22">
        <v>170</v>
      </c>
      <c r="N138" s="21">
        <v>167800</v>
      </c>
      <c r="O138" s="2" t="s">
        <v>76</v>
      </c>
      <c r="P138" s="2" t="s">
        <v>4</v>
      </c>
      <c r="Q138" s="2" t="s">
        <v>5</v>
      </c>
      <c r="R138" s="21">
        <f t="shared" si="18"/>
        <v>167800</v>
      </c>
      <c r="S138" s="21">
        <v>167800</v>
      </c>
      <c r="T138" s="5">
        <f t="shared" si="19"/>
        <v>15000</v>
      </c>
      <c r="U138">
        <f t="shared" si="20"/>
        <v>9</v>
      </c>
      <c r="V138">
        <f t="shared" si="21"/>
        <v>9</v>
      </c>
      <c r="W138" s="5">
        <f t="shared" si="22"/>
        <v>0</v>
      </c>
      <c r="X138" s="2" t="s">
        <v>6</v>
      </c>
      <c r="Y138" s="2" t="s">
        <v>2</v>
      </c>
      <c r="Z138">
        <v>751</v>
      </c>
      <c r="AA138" t="s">
        <v>1549</v>
      </c>
      <c r="AC138">
        <f t="shared" si="23"/>
        <v>2024</v>
      </c>
      <c r="AD138">
        <f t="shared" si="24"/>
        <v>2024</v>
      </c>
      <c r="AE138">
        <f t="shared" si="25"/>
        <v>2024</v>
      </c>
      <c r="AF138">
        <f t="shared" si="26"/>
        <v>9</v>
      </c>
    </row>
    <row r="139" spans="1:32" x14ac:dyDescent="0.25">
      <c r="A139" s="59">
        <v>45539</v>
      </c>
      <c r="B139" s="2">
        <v>1125</v>
      </c>
      <c r="C139" s="19" t="s">
        <v>372</v>
      </c>
      <c r="D139" s="19" t="s">
        <v>2</v>
      </c>
      <c r="E139" s="19" t="s">
        <v>2</v>
      </c>
      <c r="F139" s="19" t="s">
        <v>399</v>
      </c>
      <c r="G139" s="19" t="s">
        <v>570</v>
      </c>
      <c r="H139" s="19" t="s">
        <v>571</v>
      </c>
      <c r="I139" s="19" t="s">
        <v>572</v>
      </c>
      <c r="J139" s="2" t="s">
        <v>2</v>
      </c>
      <c r="K139" s="20">
        <v>45539</v>
      </c>
      <c r="L139" s="20">
        <v>45540</v>
      </c>
      <c r="M139" s="22">
        <v>190</v>
      </c>
      <c r="N139" s="21">
        <v>187500</v>
      </c>
      <c r="O139" s="2" t="s">
        <v>76</v>
      </c>
      <c r="P139" s="2" t="s">
        <v>4</v>
      </c>
      <c r="Q139" s="2" t="s">
        <v>5</v>
      </c>
      <c r="R139" s="21">
        <f t="shared" si="18"/>
        <v>187500</v>
      </c>
      <c r="S139" s="21">
        <v>187500</v>
      </c>
      <c r="T139" s="5">
        <f t="shared" si="19"/>
        <v>15000</v>
      </c>
      <c r="U139">
        <f t="shared" si="20"/>
        <v>9</v>
      </c>
      <c r="V139">
        <f t="shared" si="21"/>
        <v>9</v>
      </c>
      <c r="W139" s="5">
        <f t="shared" si="22"/>
        <v>0</v>
      </c>
      <c r="X139" s="2" t="s">
        <v>6</v>
      </c>
      <c r="Y139" s="2" t="s">
        <v>2</v>
      </c>
      <c r="Z139">
        <v>752</v>
      </c>
      <c r="AA139" t="s">
        <v>1550</v>
      </c>
      <c r="AC139">
        <f t="shared" si="23"/>
        <v>2024</v>
      </c>
      <c r="AD139">
        <f t="shared" si="24"/>
        <v>2024</v>
      </c>
      <c r="AE139">
        <f t="shared" si="25"/>
        <v>2024</v>
      </c>
      <c r="AF139">
        <f t="shared" si="26"/>
        <v>9</v>
      </c>
    </row>
    <row r="140" spans="1:32" x14ac:dyDescent="0.25">
      <c r="A140" s="59">
        <v>45541</v>
      </c>
      <c r="B140" s="2">
        <v>1126</v>
      </c>
      <c r="C140" s="19" t="s">
        <v>573</v>
      </c>
      <c r="D140" s="19" t="s">
        <v>2</v>
      </c>
      <c r="E140" s="19" t="s">
        <v>2</v>
      </c>
      <c r="F140" s="19" t="s">
        <v>574</v>
      </c>
      <c r="G140" s="19" t="s">
        <v>351</v>
      </c>
      <c r="H140" s="19" t="s">
        <v>575</v>
      </c>
      <c r="I140" s="19" t="s">
        <v>576</v>
      </c>
      <c r="J140" s="2" t="s">
        <v>2</v>
      </c>
      <c r="K140" s="20">
        <v>45541</v>
      </c>
      <c r="L140" s="20">
        <v>45541</v>
      </c>
      <c r="M140" s="22">
        <v>85</v>
      </c>
      <c r="N140" s="21">
        <v>85000</v>
      </c>
      <c r="O140" s="2" t="s">
        <v>76</v>
      </c>
      <c r="P140" s="2" t="s">
        <v>4</v>
      </c>
      <c r="Q140" s="2" t="s">
        <v>5</v>
      </c>
      <c r="R140" s="21">
        <f t="shared" si="18"/>
        <v>85000</v>
      </c>
      <c r="S140" s="21">
        <v>85000</v>
      </c>
      <c r="T140" s="5">
        <f t="shared" si="19"/>
        <v>15000</v>
      </c>
      <c r="U140">
        <f t="shared" si="20"/>
        <v>9</v>
      </c>
      <c r="V140">
        <f t="shared" si="21"/>
        <v>9</v>
      </c>
      <c r="W140" s="5">
        <f t="shared" si="22"/>
        <v>0</v>
      </c>
      <c r="X140" s="2" t="s">
        <v>6</v>
      </c>
      <c r="Y140" s="2" t="s">
        <v>2</v>
      </c>
      <c r="Z140">
        <v>754</v>
      </c>
      <c r="AC140">
        <f t="shared" si="23"/>
        <v>2024</v>
      </c>
      <c r="AD140">
        <f t="shared" si="24"/>
        <v>2024</v>
      </c>
      <c r="AE140">
        <f t="shared" si="25"/>
        <v>2024</v>
      </c>
      <c r="AF140">
        <f t="shared" si="26"/>
        <v>9</v>
      </c>
    </row>
    <row r="141" spans="1:32" x14ac:dyDescent="0.25">
      <c r="A141" s="59">
        <v>45541</v>
      </c>
      <c r="B141" s="2">
        <v>1127</v>
      </c>
      <c r="C141" s="19" t="s">
        <v>999</v>
      </c>
      <c r="D141" s="19" t="s">
        <v>2</v>
      </c>
      <c r="E141" s="19" t="s">
        <v>2</v>
      </c>
      <c r="F141" s="19" t="s">
        <v>448</v>
      </c>
      <c r="G141" s="19" t="s">
        <v>577</v>
      </c>
      <c r="H141" s="19" t="s">
        <v>578</v>
      </c>
      <c r="I141" s="19" t="s">
        <v>579</v>
      </c>
      <c r="J141" s="2" t="s">
        <v>2</v>
      </c>
      <c r="K141" s="20">
        <v>45551</v>
      </c>
      <c r="L141" s="20">
        <v>45551</v>
      </c>
      <c r="M141" s="22">
        <v>55</v>
      </c>
      <c r="N141" s="21">
        <v>55000</v>
      </c>
      <c r="O141" s="2" t="s">
        <v>76</v>
      </c>
      <c r="P141" s="2" t="s">
        <v>4</v>
      </c>
      <c r="Q141" s="2" t="s">
        <v>5</v>
      </c>
      <c r="R141" s="21">
        <f t="shared" si="18"/>
        <v>55000</v>
      </c>
      <c r="S141" s="21">
        <v>55000</v>
      </c>
      <c r="T141" s="5">
        <f t="shared" si="19"/>
        <v>15000</v>
      </c>
      <c r="U141">
        <f t="shared" si="20"/>
        <v>9</v>
      </c>
      <c r="V141">
        <f t="shared" si="21"/>
        <v>9</v>
      </c>
      <c r="W141" s="5">
        <f t="shared" si="22"/>
        <v>0</v>
      </c>
      <c r="X141" s="2" t="s">
        <v>6</v>
      </c>
      <c r="Y141" s="2" t="s">
        <v>2</v>
      </c>
      <c r="AC141">
        <f t="shared" si="23"/>
        <v>2024</v>
      </c>
      <c r="AD141">
        <f t="shared" si="24"/>
        <v>2024</v>
      </c>
      <c r="AE141">
        <f t="shared" si="25"/>
        <v>2024</v>
      </c>
      <c r="AF141">
        <f t="shared" si="26"/>
        <v>9</v>
      </c>
    </row>
    <row r="142" spans="1:32" x14ac:dyDescent="0.25">
      <c r="A142" s="59">
        <v>45544.125</v>
      </c>
      <c r="B142" s="2">
        <v>1128</v>
      </c>
      <c r="C142" s="19" t="s">
        <v>0</v>
      </c>
      <c r="D142" s="19" t="s">
        <v>111</v>
      </c>
      <c r="E142" s="19" t="s">
        <v>2</v>
      </c>
      <c r="F142" s="19" t="s">
        <v>538</v>
      </c>
      <c r="G142" s="19" t="s">
        <v>539</v>
      </c>
      <c r="H142" s="19" t="s">
        <v>540</v>
      </c>
      <c r="I142" s="19" t="s">
        <v>580</v>
      </c>
      <c r="J142" s="2" t="s">
        <v>581</v>
      </c>
      <c r="K142" s="20">
        <v>45574.125</v>
      </c>
      <c r="L142" s="20">
        <v>45551.125</v>
      </c>
      <c r="M142" s="22">
        <v>294</v>
      </c>
      <c r="N142" s="21">
        <v>353995</v>
      </c>
      <c r="O142" s="2" t="s">
        <v>76</v>
      </c>
      <c r="P142" s="2" t="s">
        <v>4</v>
      </c>
      <c r="Q142" s="2" t="s">
        <v>5</v>
      </c>
      <c r="R142" s="21">
        <f t="shared" si="18"/>
        <v>353995</v>
      </c>
      <c r="S142" s="21">
        <v>353995</v>
      </c>
      <c r="T142" s="5">
        <f t="shared" si="19"/>
        <v>15000</v>
      </c>
      <c r="U142">
        <f t="shared" si="20"/>
        <v>10</v>
      </c>
      <c r="V142">
        <f t="shared" si="21"/>
        <v>9</v>
      </c>
      <c r="W142" s="5">
        <f t="shared" si="22"/>
        <v>0</v>
      </c>
      <c r="X142" s="2" t="s">
        <v>6</v>
      </c>
      <c r="Y142" s="2" t="s">
        <v>2</v>
      </c>
      <c r="AA142" t="s">
        <v>1551</v>
      </c>
      <c r="AC142">
        <f t="shared" si="23"/>
        <v>2024</v>
      </c>
      <c r="AD142">
        <f t="shared" si="24"/>
        <v>2024</v>
      </c>
      <c r="AE142">
        <f t="shared" si="25"/>
        <v>2024</v>
      </c>
      <c r="AF142">
        <f t="shared" si="26"/>
        <v>9</v>
      </c>
    </row>
    <row r="143" spans="1:32" x14ac:dyDescent="0.25">
      <c r="A143" s="59">
        <v>45544.125</v>
      </c>
      <c r="B143" s="2">
        <v>1129</v>
      </c>
      <c r="C143" s="19" t="s">
        <v>0</v>
      </c>
      <c r="D143" s="19" t="s">
        <v>111</v>
      </c>
      <c r="E143" s="19" t="s">
        <v>2</v>
      </c>
      <c r="F143" s="19" t="s">
        <v>538</v>
      </c>
      <c r="G143" s="19" t="s">
        <v>539</v>
      </c>
      <c r="H143" s="19" t="s">
        <v>540</v>
      </c>
      <c r="I143" s="19" t="s">
        <v>582</v>
      </c>
      <c r="J143" s="2" t="s">
        <v>583</v>
      </c>
      <c r="K143" s="20">
        <v>45574.125</v>
      </c>
      <c r="L143" s="20">
        <v>45551.125</v>
      </c>
      <c r="M143" s="22">
        <v>294</v>
      </c>
      <c r="N143" s="21">
        <v>353995</v>
      </c>
      <c r="O143" s="2" t="s">
        <v>76</v>
      </c>
      <c r="P143" s="2" t="s">
        <v>4</v>
      </c>
      <c r="Q143" s="2" t="s">
        <v>5</v>
      </c>
      <c r="R143" s="21">
        <f t="shared" si="18"/>
        <v>353995</v>
      </c>
      <c r="S143" s="21">
        <v>353995</v>
      </c>
      <c r="T143" s="5">
        <f t="shared" si="19"/>
        <v>15000</v>
      </c>
      <c r="U143">
        <f t="shared" si="20"/>
        <v>10</v>
      </c>
      <c r="V143">
        <f t="shared" si="21"/>
        <v>9</v>
      </c>
      <c r="W143" s="5">
        <f t="shared" si="22"/>
        <v>0</v>
      </c>
      <c r="X143" s="2" t="s">
        <v>6</v>
      </c>
      <c r="Y143" s="2" t="s">
        <v>2</v>
      </c>
      <c r="AA143" t="s">
        <v>1551</v>
      </c>
      <c r="AC143">
        <f t="shared" si="23"/>
        <v>2024</v>
      </c>
      <c r="AD143">
        <f t="shared" si="24"/>
        <v>2024</v>
      </c>
      <c r="AE143">
        <f t="shared" si="25"/>
        <v>2024</v>
      </c>
      <c r="AF143">
        <f t="shared" si="26"/>
        <v>9</v>
      </c>
    </row>
    <row r="144" spans="1:32" x14ac:dyDescent="0.25">
      <c r="A144" s="59">
        <v>45545</v>
      </c>
      <c r="B144" s="2">
        <v>1130</v>
      </c>
      <c r="C144" s="19" t="s">
        <v>1732</v>
      </c>
      <c r="D144" s="19" t="s">
        <v>2</v>
      </c>
      <c r="E144" s="19" t="s">
        <v>2</v>
      </c>
      <c r="F144" s="19" t="s">
        <v>584</v>
      </c>
      <c r="G144" s="19" t="s">
        <v>585</v>
      </c>
      <c r="H144" s="19" t="s">
        <v>586</v>
      </c>
      <c r="I144" s="19" t="s">
        <v>587</v>
      </c>
      <c r="J144" s="2" t="s">
        <v>2</v>
      </c>
      <c r="K144" s="20">
        <v>45545</v>
      </c>
      <c r="L144" s="20">
        <v>45546</v>
      </c>
      <c r="M144" s="22">
        <v>398</v>
      </c>
      <c r="N144" s="21">
        <v>394500</v>
      </c>
      <c r="O144" s="2" t="s">
        <v>76</v>
      </c>
      <c r="P144" s="2" t="s">
        <v>4</v>
      </c>
      <c r="Q144" s="2" t="s">
        <v>5</v>
      </c>
      <c r="R144" s="21">
        <f t="shared" si="18"/>
        <v>394500</v>
      </c>
      <c r="S144" s="21">
        <v>394500</v>
      </c>
      <c r="T144" s="5">
        <f t="shared" si="19"/>
        <v>15000</v>
      </c>
      <c r="U144">
        <f t="shared" si="20"/>
        <v>9</v>
      </c>
      <c r="V144">
        <f t="shared" si="21"/>
        <v>9</v>
      </c>
      <c r="W144" s="5">
        <f t="shared" si="22"/>
        <v>0</v>
      </c>
      <c r="X144" s="2" t="s">
        <v>6</v>
      </c>
      <c r="Y144" s="2" t="s">
        <v>2</v>
      </c>
      <c r="Z144">
        <v>756</v>
      </c>
      <c r="AA144" t="s">
        <v>1552</v>
      </c>
      <c r="AC144">
        <f t="shared" si="23"/>
        <v>2024</v>
      </c>
      <c r="AD144">
        <f t="shared" si="24"/>
        <v>2024</v>
      </c>
      <c r="AE144">
        <f t="shared" si="25"/>
        <v>2024</v>
      </c>
      <c r="AF144">
        <f t="shared" si="26"/>
        <v>9</v>
      </c>
    </row>
    <row r="145" spans="1:32" x14ac:dyDescent="0.25">
      <c r="A145" s="59">
        <v>45545</v>
      </c>
      <c r="B145" s="2">
        <v>1131</v>
      </c>
      <c r="C145" s="19" t="s">
        <v>588</v>
      </c>
      <c r="D145" s="19" t="s">
        <v>2</v>
      </c>
      <c r="E145" s="19" t="s">
        <v>2</v>
      </c>
      <c r="F145" s="19" t="s">
        <v>399</v>
      </c>
      <c r="G145" s="19" t="s">
        <v>280</v>
      </c>
      <c r="H145" s="19" t="s">
        <v>589</v>
      </c>
      <c r="I145" s="19" t="s">
        <v>590</v>
      </c>
      <c r="J145" s="2" t="s">
        <v>2</v>
      </c>
      <c r="K145" s="20">
        <v>45545</v>
      </c>
      <c r="L145" s="20">
        <v>45545</v>
      </c>
      <c r="M145" s="22">
        <v>200</v>
      </c>
      <c r="N145" s="21">
        <v>198000</v>
      </c>
      <c r="O145" s="2" t="s">
        <v>76</v>
      </c>
      <c r="P145" s="2" t="s">
        <v>4</v>
      </c>
      <c r="Q145" s="2" t="s">
        <v>5</v>
      </c>
      <c r="R145" s="21">
        <f t="shared" si="18"/>
        <v>198000</v>
      </c>
      <c r="S145" s="21">
        <v>198000</v>
      </c>
      <c r="T145" s="5">
        <f t="shared" si="19"/>
        <v>15000</v>
      </c>
      <c r="U145">
        <f t="shared" si="20"/>
        <v>9</v>
      </c>
      <c r="V145">
        <f t="shared" si="21"/>
        <v>9</v>
      </c>
      <c r="W145" s="5">
        <f t="shared" si="22"/>
        <v>0</v>
      </c>
      <c r="X145" s="2" t="s">
        <v>6</v>
      </c>
      <c r="Y145" s="2" t="s">
        <v>2</v>
      </c>
      <c r="Z145">
        <v>755</v>
      </c>
      <c r="AA145" t="s">
        <v>1553</v>
      </c>
      <c r="AC145">
        <f t="shared" si="23"/>
        <v>2024</v>
      </c>
      <c r="AD145">
        <f t="shared" si="24"/>
        <v>2024</v>
      </c>
      <c r="AE145">
        <f t="shared" si="25"/>
        <v>2024</v>
      </c>
      <c r="AF145">
        <f t="shared" si="26"/>
        <v>9</v>
      </c>
    </row>
    <row r="146" spans="1:32" x14ac:dyDescent="0.25">
      <c r="A146" s="59">
        <v>45547</v>
      </c>
      <c r="B146" s="2">
        <v>1132</v>
      </c>
      <c r="C146" s="19" t="s">
        <v>1000</v>
      </c>
      <c r="D146" s="19" t="s">
        <v>2</v>
      </c>
      <c r="E146" s="19" t="s">
        <v>2</v>
      </c>
      <c r="F146" s="19" t="s">
        <v>591</v>
      </c>
      <c r="G146" s="19" t="s">
        <v>351</v>
      </c>
      <c r="H146" s="19" t="s">
        <v>430</v>
      </c>
      <c r="I146" s="19" t="s">
        <v>592</v>
      </c>
      <c r="J146" s="2" t="s">
        <v>2</v>
      </c>
      <c r="K146" s="20">
        <v>45547</v>
      </c>
      <c r="L146" s="20">
        <v>45552</v>
      </c>
      <c r="M146" s="22">
        <v>147</v>
      </c>
      <c r="N146" s="21">
        <v>147500</v>
      </c>
      <c r="O146" s="2" t="s">
        <v>76</v>
      </c>
      <c r="P146" s="2" t="s">
        <v>4</v>
      </c>
      <c r="Q146" s="2" t="s">
        <v>5</v>
      </c>
      <c r="R146" s="21">
        <f t="shared" si="18"/>
        <v>147500</v>
      </c>
      <c r="S146" s="21">
        <v>147500</v>
      </c>
      <c r="T146" s="5">
        <f t="shared" si="19"/>
        <v>15000</v>
      </c>
      <c r="U146">
        <f t="shared" si="20"/>
        <v>9</v>
      </c>
      <c r="V146">
        <f t="shared" si="21"/>
        <v>9</v>
      </c>
      <c r="W146" s="5">
        <f t="shared" si="22"/>
        <v>0</v>
      </c>
      <c r="X146" s="2" t="s">
        <v>6</v>
      </c>
      <c r="Y146" s="2" t="s">
        <v>2</v>
      </c>
      <c r="Z146">
        <v>757</v>
      </c>
      <c r="AC146">
        <f t="shared" si="23"/>
        <v>2024</v>
      </c>
      <c r="AD146">
        <f t="shared" si="24"/>
        <v>2024</v>
      </c>
      <c r="AE146">
        <f t="shared" si="25"/>
        <v>2024</v>
      </c>
      <c r="AF146">
        <f t="shared" si="26"/>
        <v>9</v>
      </c>
    </row>
    <row r="147" spans="1:32" x14ac:dyDescent="0.25">
      <c r="A147" s="59">
        <v>45547</v>
      </c>
      <c r="B147" s="2">
        <v>1133</v>
      </c>
      <c r="C147" s="19" t="s">
        <v>593</v>
      </c>
      <c r="D147" s="19" t="s">
        <v>2</v>
      </c>
      <c r="E147" s="19" t="s">
        <v>2</v>
      </c>
      <c r="F147" s="19" t="s">
        <v>594</v>
      </c>
      <c r="G147" s="19" t="s">
        <v>163</v>
      </c>
      <c r="H147" s="19" t="s">
        <v>595</v>
      </c>
      <c r="I147" s="19" t="s">
        <v>596</v>
      </c>
      <c r="J147" s="2" t="s">
        <v>2</v>
      </c>
      <c r="K147" s="20">
        <v>45559</v>
      </c>
      <c r="L147" s="20">
        <v>45551</v>
      </c>
      <c r="M147" s="22">
        <v>245</v>
      </c>
      <c r="N147" s="21">
        <v>245000</v>
      </c>
      <c r="O147" s="2" t="s">
        <v>76</v>
      </c>
      <c r="P147" s="2" t="s">
        <v>4</v>
      </c>
      <c r="Q147" s="2" t="s">
        <v>5</v>
      </c>
      <c r="R147" s="21">
        <f t="shared" si="18"/>
        <v>245000</v>
      </c>
      <c r="S147" s="21">
        <v>245000</v>
      </c>
      <c r="T147" s="5">
        <f t="shared" si="19"/>
        <v>15000</v>
      </c>
      <c r="U147">
        <f t="shared" si="20"/>
        <v>9</v>
      </c>
      <c r="V147">
        <f t="shared" si="21"/>
        <v>9</v>
      </c>
      <c r="W147" s="5">
        <f t="shared" si="22"/>
        <v>0</v>
      </c>
      <c r="X147" s="2" t="s">
        <v>6</v>
      </c>
      <c r="Y147" s="2" t="s">
        <v>2</v>
      </c>
      <c r="AC147">
        <f t="shared" si="23"/>
        <v>2024</v>
      </c>
      <c r="AD147">
        <f t="shared" si="24"/>
        <v>2024</v>
      </c>
      <c r="AE147">
        <f t="shared" si="25"/>
        <v>2024</v>
      </c>
      <c r="AF147">
        <f t="shared" si="26"/>
        <v>9</v>
      </c>
    </row>
    <row r="148" spans="1:32" x14ac:dyDescent="0.25">
      <c r="A148" s="59">
        <v>45548</v>
      </c>
      <c r="B148" s="2">
        <v>1134</v>
      </c>
      <c r="C148" s="19" t="s">
        <v>564</v>
      </c>
      <c r="D148" s="19" t="s">
        <v>2</v>
      </c>
      <c r="E148" s="19" t="s">
        <v>2</v>
      </c>
      <c r="F148" s="19" t="s">
        <v>591</v>
      </c>
      <c r="G148" s="19" t="s">
        <v>195</v>
      </c>
      <c r="H148" s="19" t="s">
        <v>597</v>
      </c>
      <c r="I148" s="19" t="s">
        <v>598</v>
      </c>
      <c r="J148" s="2" t="s">
        <v>2</v>
      </c>
      <c r="K148" s="20">
        <v>45548</v>
      </c>
      <c r="L148" s="20">
        <v>45548</v>
      </c>
      <c r="M148" s="22">
        <v>190</v>
      </c>
      <c r="N148" s="21">
        <v>188500</v>
      </c>
      <c r="O148" s="2" t="s">
        <v>76</v>
      </c>
      <c r="P148" s="2" t="s">
        <v>4</v>
      </c>
      <c r="Q148" s="2" t="s">
        <v>5</v>
      </c>
      <c r="R148" s="21">
        <f t="shared" si="18"/>
        <v>188500</v>
      </c>
      <c r="S148" s="21">
        <v>188500</v>
      </c>
      <c r="T148" s="5">
        <f t="shared" si="19"/>
        <v>15000</v>
      </c>
      <c r="U148">
        <f t="shared" si="20"/>
        <v>9</v>
      </c>
      <c r="V148">
        <f t="shared" si="21"/>
        <v>9</v>
      </c>
      <c r="W148" s="5">
        <f t="shared" si="22"/>
        <v>0</v>
      </c>
      <c r="X148" s="2" t="s">
        <v>6</v>
      </c>
      <c r="Y148" s="2" t="s">
        <v>2</v>
      </c>
      <c r="Z148">
        <v>758</v>
      </c>
      <c r="AC148">
        <f t="shared" si="23"/>
        <v>2024</v>
      </c>
      <c r="AD148">
        <f t="shared" si="24"/>
        <v>2024</v>
      </c>
      <c r="AE148">
        <f t="shared" si="25"/>
        <v>2024</v>
      </c>
      <c r="AF148">
        <f t="shared" si="26"/>
        <v>9</v>
      </c>
    </row>
    <row r="149" spans="1:32" x14ac:dyDescent="0.25">
      <c r="A149" s="59">
        <v>45548</v>
      </c>
      <c r="B149" s="2">
        <v>1135</v>
      </c>
      <c r="C149" s="19" t="s">
        <v>599</v>
      </c>
      <c r="D149" s="19" t="s">
        <v>2</v>
      </c>
      <c r="E149" s="19" t="s">
        <v>2</v>
      </c>
      <c r="F149" s="19" t="s">
        <v>584</v>
      </c>
      <c r="G149" s="19" t="s">
        <v>456</v>
      </c>
      <c r="H149" s="19" t="s">
        <v>600</v>
      </c>
      <c r="I149" s="19" t="s">
        <v>601</v>
      </c>
      <c r="J149" s="2" t="s">
        <v>2</v>
      </c>
      <c r="K149" s="20">
        <v>45559</v>
      </c>
      <c r="L149" s="20">
        <v>45553</v>
      </c>
      <c r="M149" s="22">
        <v>350</v>
      </c>
      <c r="N149" s="21">
        <v>320000</v>
      </c>
      <c r="O149" s="2" t="s">
        <v>76</v>
      </c>
      <c r="P149" s="2" t="s">
        <v>4</v>
      </c>
      <c r="Q149" s="2" t="s">
        <v>5</v>
      </c>
      <c r="R149" s="21">
        <f t="shared" si="18"/>
        <v>320000</v>
      </c>
      <c r="S149" s="21">
        <v>320000</v>
      </c>
      <c r="T149" s="5">
        <f t="shared" si="19"/>
        <v>15000</v>
      </c>
      <c r="U149">
        <f t="shared" si="20"/>
        <v>9</v>
      </c>
      <c r="V149">
        <f t="shared" si="21"/>
        <v>9</v>
      </c>
      <c r="W149" s="5">
        <f t="shared" si="22"/>
        <v>0</v>
      </c>
      <c r="X149" s="2" t="s">
        <v>6</v>
      </c>
      <c r="Y149" s="2" t="s">
        <v>2</v>
      </c>
      <c r="Z149">
        <v>764</v>
      </c>
      <c r="AA149" t="s">
        <v>1554</v>
      </c>
      <c r="AC149">
        <f t="shared" si="23"/>
        <v>2024</v>
      </c>
      <c r="AD149">
        <f t="shared" si="24"/>
        <v>2024</v>
      </c>
      <c r="AE149">
        <f t="shared" si="25"/>
        <v>2024</v>
      </c>
      <c r="AF149">
        <f t="shared" si="26"/>
        <v>9</v>
      </c>
    </row>
    <row r="150" spans="1:32" x14ac:dyDescent="0.25">
      <c r="A150" s="59">
        <v>45548</v>
      </c>
      <c r="B150" s="2">
        <v>1136</v>
      </c>
      <c r="C150" s="19" t="s">
        <v>135</v>
      </c>
      <c r="D150" s="19" t="s">
        <v>2</v>
      </c>
      <c r="E150" s="19" t="s">
        <v>2</v>
      </c>
      <c r="F150" s="19" t="s">
        <v>602</v>
      </c>
      <c r="G150" s="19" t="s">
        <v>91</v>
      </c>
      <c r="H150" s="19" t="s">
        <v>603</v>
      </c>
      <c r="I150" s="19" t="s">
        <v>604</v>
      </c>
      <c r="J150" s="2" t="s">
        <v>2</v>
      </c>
      <c r="K150" s="20">
        <v>45551</v>
      </c>
      <c r="L150" s="20">
        <v>45551</v>
      </c>
      <c r="M150" s="22">
        <v>89</v>
      </c>
      <c r="N150" s="21">
        <v>88500</v>
      </c>
      <c r="O150" s="2" t="s">
        <v>76</v>
      </c>
      <c r="P150" s="2" t="s">
        <v>4</v>
      </c>
      <c r="Q150" s="2" t="s">
        <v>5</v>
      </c>
      <c r="R150" s="21">
        <f t="shared" si="18"/>
        <v>88500</v>
      </c>
      <c r="S150" s="21">
        <v>88500</v>
      </c>
      <c r="T150" s="5">
        <f t="shared" si="19"/>
        <v>15000</v>
      </c>
      <c r="U150">
        <f t="shared" si="20"/>
        <v>9</v>
      </c>
      <c r="V150">
        <f t="shared" si="21"/>
        <v>9</v>
      </c>
      <c r="W150" s="5">
        <f t="shared" si="22"/>
        <v>0</v>
      </c>
      <c r="X150" s="2" t="s">
        <v>6</v>
      </c>
      <c r="Y150" s="2" t="s">
        <v>2</v>
      </c>
      <c r="Z150">
        <v>759</v>
      </c>
      <c r="AC150">
        <f t="shared" si="23"/>
        <v>2024</v>
      </c>
      <c r="AD150">
        <f t="shared" si="24"/>
        <v>2024</v>
      </c>
      <c r="AE150">
        <f t="shared" si="25"/>
        <v>2024</v>
      </c>
      <c r="AF150">
        <f t="shared" si="26"/>
        <v>9</v>
      </c>
    </row>
    <row r="151" spans="1:32" x14ac:dyDescent="0.25">
      <c r="A151" s="59">
        <v>45554</v>
      </c>
      <c r="B151" s="2">
        <v>1137</v>
      </c>
      <c r="C151" s="19" t="s">
        <v>605</v>
      </c>
      <c r="D151" s="19" t="s">
        <v>2</v>
      </c>
      <c r="E151" s="19" t="s">
        <v>2</v>
      </c>
      <c r="F151" s="19" t="s">
        <v>606</v>
      </c>
      <c r="G151" s="19" t="s">
        <v>607</v>
      </c>
      <c r="H151" s="19" t="s">
        <v>608</v>
      </c>
      <c r="I151" s="19" t="s">
        <v>609</v>
      </c>
      <c r="J151" s="2" t="s">
        <v>2</v>
      </c>
      <c r="K151" s="20">
        <v>45582</v>
      </c>
      <c r="L151" s="20">
        <v>45558</v>
      </c>
      <c r="M151" s="22">
        <v>700</v>
      </c>
      <c r="N151" s="21">
        <v>627000</v>
      </c>
      <c r="O151" s="2" t="s">
        <v>76</v>
      </c>
      <c r="P151" s="2" t="s">
        <v>4</v>
      </c>
      <c r="Q151" s="2" t="s">
        <v>5</v>
      </c>
      <c r="R151" s="21">
        <f t="shared" si="18"/>
        <v>627000</v>
      </c>
      <c r="S151" s="21">
        <v>627000</v>
      </c>
      <c r="T151" s="5">
        <f t="shared" si="19"/>
        <v>15000</v>
      </c>
      <c r="U151">
        <f t="shared" si="20"/>
        <v>10</v>
      </c>
      <c r="V151">
        <f t="shared" si="21"/>
        <v>9</v>
      </c>
      <c r="W151" s="5">
        <f t="shared" si="22"/>
        <v>0</v>
      </c>
      <c r="X151" s="2" t="s">
        <v>6</v>
      </c>
      <c r="Y151" s="2" t="s">
        <v>2</v>
      </c>
      <c r="Z151">
        <v>770</v>
      </c>
      <c r="AC151">
        <f t="shared" si="23"/>
        <v>2024</v>
      </c>
      <c r="AD151">
        <f t="shared" si="24"/>
        <v>2024</v>
      </c>
      <c r="AE151">
        <f t="shared" si="25"/>
        <v>2024</v>
      </c>
      <c r="AF151">
        <f t="shared" si="26"/>
        <v>9</v>
      </c>
    </row>
    <row r="152" spans="1:32" x14ac:dyDescent="0.25">
      <c r="A152" s="59">
        <v>45558</v>
      </c>
      <c r="B152" s="2">
        <v>1138</v>
      </c>
      <c r="C152" s="19" t="s">
        <v>610</v>
      </c>
      <c r="D152" s="19" t="s">
        <v>2</v>
      </c>
      <c r="E152" s="19" t="s">
        <v>2</v>
      </c>
      <c r="F152" s="19" t="s">
        <v>611</v>
      </c>
      <c r="G152" s="19" t="s">
        <v>612</v>
      </c>
      <c r="H152" s="19" t="s">
        <v>613</v>
      </c>
      <c r="I152" s="19" t="s">
        <v>614</v>
      </c>
      <c r="J152" s="2" t="s">
        <v>2</v>
      </c>
      <c r="K152" s="20">
        <v>45558</v>
      </c>
      <c r="L152" s="20">
        <v>45558</v>
      </c>
      <c r="M152" s="22">
        <v>200</v>
      </c>
      <c r="N152" s="21">
        <v>198000</v>
      </c>
      <c r="O152" s="2" t="s">
        <v>76</v>
      </c>
      <c r="P152" s="2" t="s">
        <v>4</v>
      </c>
      <c r="Q152" s="2" t="s">
        <v>5</v>
      </c>
      <c r="R152" s="21">
        <f t="shared" si="18"/>
        <v>198000</v>
      </c>
      <c r="S152" s="21">
        <v>198000</v>
      </c>
      <c r="T152" s="5">
        <f t="shared" si="19"/>
        <v>15000</v>
      </c>
      <c r="U152">
        <f t="shared" si="20"/>
        <v>9</v>
      </c>
      <c r="V152">
        <f t="shared" si="21"/>
        <v>9</v>
      </c>
      <c r="W152" s="5">
        <f t="shared" si="22"/>
        <v>0</v>
      </c>
      <c r="X152" s="2" t="s">
        <v>6</v>
      </c>
      <c r="Y152" s="2" t="s">
        <v>2</v>
      </c>
      <c r="Z152">
        <v>761</v>
      </c>
      <c r="AA152" t="s">
        <v>1555</v>
      </c>
      <c r="AC152">
        <f t="shared" si="23"/>
        <v>2024</v>
      </c>
      <c r="AD152">
        <f t="shared" si="24"/>
        <v>2024</v>
      </c>
      <c r="AE152">
        <f t="shared" si="25"/>
        <v>2024</v>
      </c>
      <c r="AF152">
        <f t="shared" si="26"/>
        <v>9</v>
      </c>
    </row>
    <row r="153" spans="1:32" x14ac:dyDescent="0.25">
      <c r="A153" s="59">
        <v>45559</v>
      </c>
      <c r="B153" s="2">
        <v>1139</v>
      </c>
      <c r="C153" s="19" t="s">
        <v>98</v>
      </c>
      <c r="D153" s="19" t="s">
        <v>2</v>
      </c>
      <c r="E153" s="19" t="s">
        <v>2</v>
      </c>
      <c r="F153" s="19" t="s">
        <v>545</v>
      </c>
      <c r="G153" s="19" t="s">
        <v>546</v>
      </c>
      <c r="H153" s="19" t="s">
        <v>547</v>
      </c>
      <c r="I153" s="19" t="s">
        <v>615</v>
      </c>
      <c r="J153" s="2" t="s">
        <v>2</v>
      </c>
      <c r="K153" s="20">
        <v>45572</v>
      </c>
      <c r="L153" s="20">
        <v>45572</v>
      </c>
      <c r="M153" s="22">
        <v>400</v>
      </c>
      <c r="N153" s="21">
        <v>398500</v>
      </c>
      <c r="O153" s="2" t="s">
        <v>76</v>
      </c>
      <c r="P153" s="2" t="s">
        <v>4</v>
      </c>
      <c r="Q153" s="2" t="s">
        <v>5</v>
      </c>
      <c r="R153" s="21">
        <f t="shared" si="18"/>
        <v>398500</v>
      </c>
      <c r="S153" s="21">
        <v>398500</v>
      </c>
      <c r="T153" s="5">
        <f t="shared" si="19"/>
        <v>15000</v>
      </c>
      <c r="U153">
        <f t="shared" si="20"/>
        <v>10</v>
      </c>
      <c r="V153">
        <f t="shared" si="21"/>
        <v>9</v>
      </c>
      <c r="W153" s="5">
        <f t="shared" si="22"/>
        <v>0</v>
      </c>
      <c r="X153" s="2" t="s">
        <v>6</v>
      </c>
      <c r="Y153" s="2" t="s">
        <v>2</v>
      </c>
      <c r="Z153">
        <v>769</v>
      </c>
      <c r="AA153" t="s">
        <v>1556</v>
      </c>
      <c r="AC153">
        <f t="shared" si="23"/>
        <v>2024</v>
      </c>
      <c r="AD153">
        <f t="shared" si="24"/>
        <v>2024</v>
      </c>
      <c r="AE153">
        <f t="shared" si="25"/>
        <v>2024</v>
      </c>
      <c r="AF153">
        <f t="shared" si="26"/>
        <v>10</v>
      </c>
    </row>
    <row r="154" spans="1:32" x14ac:dyDescent="0.25">
      <c r="A154" s="59">
        <v>45559.125</v>
      </c>
      <c r="B154" s="2">
        <v>1140</v>
      </c>
      <c r="C154" s="19" t="s">
        <v>98</v>
      </c>
      <c r="D154" s="19" t="s">
        <v>2</v>
      </c>
      <c r="E154" s="19" t="s">
        <v>2</v>
      </c>
      <c r="F154" s="19" t="s">
        <v>616</v>
      </c>
      <c r="G154" s="19" t="s">
        <v>607</v>
      </c>
      <c r="H154" s="19" t="s">
        <v>617</v>
      </c>
      <c r="I154" s="19" t="s">
        <v>618</v>
      </c>
      <c r="J154" s="2" t="s">
        <v>2</v>
      </c>
      <c r="K154" s="20">
        <v>45684.125</v>
      </c>
      <c r="L154" s="20">
        <v>45684.125</v>
      </c>
      <c r="M154" s="22">
        <v>1000</v>
      </c>
      <c r="N154" s="21">
        <v>987540</v>
      </c>
      <c r="O154" s="2" t="s">
        <v>76</v>
      </c>
      <c r="P154" s="2" t="s">
        <v>145</v>
      </c>
      <c r="Q154" s="2" t="s">
        <v>146</v>
      </c>
      <c r="R154" s="21">
        <f t="shared" si="18"/>
        <v>0</v>
      </c>
      <c r="S154" s="21">
        <v>0</v>
      </c>
      <c r="T154" s="5">
        <f t="shared" si="19"/>
        <v>15000</v>
      </c>
      <c r="U154">
        <f t="shared" si="20"/>
        <v>1</v>
      </c>
      <c r="V154">
        <f t="shared" si="21"/>
        <v>9</v>
      </c>
      <c r="W154" s="5">
        <f t="shared" si="22"/>
        <v>0</v>
      </c>
      <c r="X154" s="2" t="s">
        <v>6</v>
      </c>
      <c r="Y154" s="2" t="s">
        <v>2</v>
      </c>
      <c r="AC154">
        <f t="shared" si="23"/>
        <v>2025</v>
      </c>
      <c r="AD154">
        <f t="shared" si="24"/>
        <v>2024</v>
      </c>
      <c r="AE154">
        <f t="shared" si="25"/>
        <v>2025</v>
      </c>
      <c r="AF154">
        <f t="shared" si="26"/>
        <v>1</v>
      </c>
    </row>
    <row r="155" spans="1:32" x14ac:dyDescent="0.25">
      <c r="A155" s="59">
        <v>45560</v>
      </c>
      <c r="B155" s="2">
        <v>1141</v>
      </c>
      <c r="C155" s="19" t="s">
        <v>619</v>
      </c>
      <c r="D155" s="19" t="s">
        <v>2</v>
      </c>
      <c r="E155" s="19" t="s">
        <v>2</v>
      </c>
      <c r="F155" s="19" t="s">
        <v>620</v>
      </c>
      <c r="G155" s="19" t="s">
        <v>621</v>
      </c>
      <c r="H155" s="19" t="s">
        <v>622</v>
      </c>
      <c r="I155" s="19" t="s">
        <v>623</v>
      </c>
      <c r="J155" s="2" t="s">
        <v>2</v>
      </c>
      <c r="K155" s="20">
        <v>45560</v>
      </c>
      <c r="L155" s="20">
        <v>45560</v>
      </c>
      <c r="M155" s="22">
        <v>50</v>
      </c>
      <c r="N155" s="21">
        <v>49500</v>
      </c>
      <c r="O155" s="2" t="s">
        <v>76</v>
      </c>
      <c r="P155" s="2" t="s">
        <v>4</v>
      </c>
      <c r="Q155" s="2" t="s">
        <v>5</v>
      </c>
      <c r="R155" s="21">
        <f t="shared" si="18"/>
        <v>49500</v>
      </c>
      <c r="S155" s="21">
        <v>49500</v>
      </c>
      <c r="T155" s="5">
        <f t="shared" si="19"/>
        <v>15000</v>
      </c>
      <c r="U155">
        <f t="shared" si="20"/>
        <v>9</v>
      </c>
      <c r="V155">
        <f t="shared" si="21"/>
        <v>9</v>
      </c>
      <c r="W155" s="5">
        <f t="shared" si="22"/>
        <v>0</v>
      </c>
      <c r="X155" s="2" t="s">
        <v>6</v>
      </c>
      <c r="Y155" s="2" t="s">
        <v>2</v>
      </c>
      <c r="Z155">
        <v>763</v>
      </c>
      <c r="AC155">
        <f t="shared" si="23"/>
        <v>2024</v>
      </c>
      <c r="AD155">
        <f t="shared" si="24"/>
        <v>2024</v>
      </c>
      <c r="AE155">
        <f t="shared" si="25"/>
        <v>2024</v>
      </c>
      <c r="AF155">
        <f t="shared" si="26"/>
        <v>9</v>
      </c>
    </row>
    <row r="156" spans="1:32" x14ac:dyDescent="0.25">
      <c r="A156" s="59">
        <v>45560.125</v>
      </c>
      <c r="B156" s="2">
        <v>1142</v>
      </c>
      <c r="C156" s="19" t="s">
        <v>573</v>
      </c>
      <c r="D156" s="19" t="s">
        <v>2</v>
      </c>
      <c r="E156" s="19" t="s">
        <v>2</v>
      </c>
      <c r="F156" s="19" t="s">
        <v>399</v>
      </c>
      <c r="G156" s="19" t="s">
        <v>351</v>
      </c>
      <c r="H156" s="19" t="s">
        <v>430</v>
      </c>
      <c r="I156" s="19" t="s">
        <v>624</v>
      </c>
      <c r="J156" s="2" t="s">
        <v>2</v>
      </c>
      <c r="K156" s="20">
        <v>45560.125</v>
      </c>
      <c r="L156" s="20">
        <v>45643.125</v>
      </c>
      <c r="M156" s="22">
        <v>167</v>
      </c>
      <c r="N156" s="21">
        <v>167500</v>
      </c>
      <c r="O156" s="2" t="s">
        <v>76</v>
      </c>
      <c r="P156" s="2" t="s">
        <v>4</v>
      </c>
      <c r="Q156" s="2" t="s">
        <v>5</v>
      </c>
      <c r="R156" s="21">
        <f t="shared" si="18"/>
        <v>167500</v>
      </c>
      <c r="S156" s="21">
        <v>167500</v>
      </c>
      <c r="T156" s="5">
        <f t="shared" si="19"/>
        <v>15000</v>
      </c>
      <c r="U156">
        <f t="shared" si="20"/>
        <v>9</v>
      </c>
      <c r="V156">
        <f t="shared" si="21"/>
        <v>9</v>
      </c>
      <c r="W156" s="5">
        <f t="shared" si="22"/>
        <v>0</v>
      </c>
      <c r="X156" s="2" t="s">
        <v>6</v>
      </c>
      <c r="Y156" s="2" t="s">
        <v>2</v>
      </c>
      <c r="Z156">
        <v>799</v>
      </c>
      <c r="AC156">
        <f t="shared" si="23"/>
        <v>2024</v>
      </c>
      <c r="AD156">
        <f t="shared" si="24"/>
        <v>2024</v>
      </c>
      <c r="AE156">
        <f t="shared" si="25"/>
        <v>2024</v>
      </c>
      <c r="AF156">
        <f t="shared" si="26"/>
        <v>12</v>
      </c>
    </row>
    <row r="157" spans="1:32" x14ac:dyDescent="0.25">
      <c r="A157" s="59">
        <v>45560</v>
      </c>
      <c r="B157" s="2">
        <v>1143</v>
      </c>
      <c r="C157" s="19" t="s">
        <v>573</v>
      </c>
      <c r="D157" s="19" t="s">
        <v>2</v>
      </c>
      <c r="E157" s="19" t="s">
        <v>2</v>
      </c>
      <c r="F157" s="19" t="s">
        <v>591</v>
      </c>
      <c r="G157" s="19" t="s">
        <v>351</v>
      </c>
      <c r="H157" s="19" t="s">
        <v>430</v>
      </c>
      <c r="I157" s="19" t="s">
        <v>625</v>
      </c>
      <c r="J157" s="2" t="s">
        <v>2</v>
      </c>
      <c r="K157" s="20">
        <v>45560</v>
      </c>
      <c r="L157" s="20">
        <v>45572</v>
      </c>
      <c r="M157" s="22">
        <v>150</v>
      </c>
      <c r="N157" s="21">
        <v>149500</v>
      </c>
      <c r="O157" s="2" t="s">
        <v>76</v>
      </c>
      <c r="P157" s="2" t="s">
        <v>4</v>
      </c>
      <c r="Q157" s="2" t="s">
        <v>5</v>
      </c>
      <c r="R157" s="21">
        <f t="shared" si="18"/>
        <v>149500</v>
      </c>
      <c r="S157" s="21">
        <v>149500</v>
      </c>
      <c r="T157" s="5">
        <f t="shared" si="19"/>
        <v>15000</v>
      </c>
      <c r="U157">
        <f t="shared" si="20"/>
        <v>9</v>
      </c>
      <c r="V157">
        <f t="shared" si="21"/>
        <v>9</v>
      </c>
      <c r="W157" s="5">
        <f t="shared" si="22"/>
        <v>0</v>
      </c>
      <c r="X157" s="2" t="s">
        <v>6</v>
      </c>
      <c r="Y157" s="2" t="s">
        <v>2</v>
      </c>
      <c r="Z157">
        <v>767</v>
      </c>
      <c r="AC157">
        <f t="shared" si="23"/>
        <v>2024</v>
      </c>
      <c r="AD157">
        <f t="shared" si="24"/>
        <v>2024</v>
      </c>
      <c r="AE157">
        <f t="shared" si="25"/>
        <v>2024</v>
      </c>
      <c r="AF157">
        <f t="shared" si="26"/>
        <v>10</v>
      </c>
    </row>
    <row r="158" spans="1:32" x14ac:dyDescent="0.25">
      <c r="A158" s="59">
        <v>45561</v>
      </c>
      <c r="B158" s="2">
        <v>1144</v>
      </c>
      <c r="C158" s="19" t="s">
        <v>1</v>
      </c>
      <c r="D158" s="19" t="s">
        <v>2</v>
      </c>
      <c r="E158" s="19" t="s">
        <v>2</v>
      </c>
      <c r="F158" s="19" t="s">
        <v>136</v>
      </c>
      <c r="G158" s="19" t="s">
        <v>137</v>
      </c>
      <c r="H158" s="19" t="s">
        <v>138</v>
      </c>
      <c r="I158" s="19" t="s">
        <v>626</v>
      </c>
      <c r="J158" s="2" t="s">
        <v>2</v>
      </c>
      <c r="K158" s="20">
        <v>45561</v>
      </c>
      <c r="L158" s="20">
        <v>45572</v>
      </c>
      <c r="M158" s="22">
        <v>135</v>
      </c>
      <c r="N158" s="21">
        <v>133650</v>
      </c>
      <c r="O158" s="2" t="s">
        <v>76</v>
      </c>
      <c r="P158" s="2" t="s">
        <v>4</v>
      </c>
      <c r="Q158" s="2" t="s">
        <v>5</v>
      </c>
      <c r="R158" s="21">
        <f t="shared" si="18"/>
        <v>133650</v>
      </c>
      <c r="S158" s="21">
        <v>133650</v>
      </c>
      <c r="T158" s="5">
        <f t="shared" si="19"/>
        <v>15000</v>
      </c>
      <c r="U158">
        <f t="shared" si="20"/>
        <v>9</v>
      </c>
      <c r="V158">
        <f t="shared" si="21"/>
        <v>9</v>
      </c>
      <c r="W158" s="5">
        <f t="shared" si="22"/>
        <v>0</v>
      </c>
      <c r="X158" s="2" t="s">
        <v>6</v>
      </c>
      <c r="Y158" s="2" t="s">
        <v>2</v>
      </c>
      <c r="Z158">
        <v>771</v>
      </c>
      <c r="AA158" t="s">
        <v>1557</v>
      </c>
      <c r="AC158">
        <f t="shared" si="23"/>
        <v>2024</v>
      </c>
      <c r="AD158">
        <f t="shared" si="24"/>
        <v>2024</v>
      </c>
      <c r="AE158">
        <f t="shared" si="25"/>
        <v>2024</v>
      </c>
      <c r="AF158">
        <f t="shared" si="26"/>
        <v>10</v>
      </c>
    </row>
    <row r="159" spans="1:32" x14ac:dyDescent="0.25">
      <c r="A159" s="59">
        <v>45562</v>
      </c>
      <c r="B159" s="2">
        <v>1145</v>
      </c>
      <c r="C159" s="19" t="s">
        <v>1</v>
      </c>
      <c r="D159" s="19" t="s">
        <v>2</v>
      </c>
      <c r="E159" s="19" t="s">
        <v>2</v>
      </c>
      <c r="F159" s="19" t="s">
        <v>602</v>
      </c>
      <c r="G159" s="19" t="s">
        <v>91</v>
      </c>
      <c r="H159" s="19" t="s">
        <v>627</v>
      </c>
      <c r="I159" s="19" t="s">
        <v>628</v>
      </c>
      <c r="J159" s="2" t="s">
        <v>2</v>
      </c>
      <c r="K159" s="20">
        <v>45562</v>
      </c>
      <c r="L159" s="20">
        <v>45566</v>
      </c>
      <c r="M159" s="22">
        <v>130</v>
      </c>
      <c r="N159" s="21">
        <v>137500</v>
      </c>
      <c r="O159" s="2" t="s">
        <v>76</v>
      </c>
      <c r="P159" s="2" t="s">
        <v>4</v>
      </c>
      <c r="Q159" s="2" t="s">
        <v>5</v>
      </c>
      <c r="R159" s="21">
        <f t="shared" si="18"/>
        <v>137500</v>
      </c>
      <c r="S159" s="21">
        <v>137500</v>
      </c>
      <c r="T159" s="5">
        <f t="shared" si="19"/>
        <v>15000</v>
      </c>
      <c r="U159">
        <f t="shared" si="20"/>
        <v>9</v>
      </c>
      <c r="V159">
        <f t="shared" si="21"/>
        <v>9</v>
      </c>
      <c r="W159" s="5">
        <f t="shared" si="22"/>
        <v>0</v>
      </c>
      <c r="X159" s="2" t="s">
        <v>6</v>
      </c>
      <c r="Y159" s="2" t="s">
        <v>2</v>
      </c>
      <c r="Z159">
        <v>762</v>
      </c>
      <c r="AA159" t="s">
        <v>1557</v>
      </c>
      <c r="AC159">
        <f t="shared" si="23"/>
        <v>2024</v>
      </c>
      <c r="AD159">
        <f t="shared" si="24"/>
        <v>2024</v>
      </c>
      <c r="AE159">
        <f t="shared" si="25"/>
        <v>2024</v>
      </c>
      <c r="AF159">
        <f t="shared" si="26"/>
        <v>10</v>
      </c>
    </row>
    <row r="160" spans="1:32" x14ac:dyDescent="0.25">
      <c r="A160" s="59">
        <v>45565</v>
      </c>
      <c r="B160" s="2">
        <v>1146</v>
      </c>
      <c r="C160" s="19" t="s">
        <v>629</v>
      </c>
      <c r="D160" s="19" t="s">
        <v>2</v>
      </c>
      <c r="E160" s="19" t="s">
        <v>2</v>
      </c>
      <c r="F160" s="19" t="s">
        <v>630</v>
      </c>
      <c r="G160" s="19" t="s">
        <v>631</v>
      </c>
      <c r="H160" s="19" t="s">
        <v>632</v>
      </c>
      <c r="I160" s="19" t="s">
        <v>633</v>
      </c>
      <c r="J160" s="2" t="s">
        <v>2</v>
      </c>
      <c r="K160" s="20">
        <v>45565</v>
      </c>
      <c r="L160" s="20">
        <v>45566</v>
      </c>
      <c r="M160" s="22">
        <v>84</v>
      </c>
      <c r="N160" s="21">
        <v>75000</v>
      </c>
      <c r="O160" s="2" t="s">
        <v>76</v>
      </c>
      <c r="P160" s="2" t="s">
        <v>4</v>
      </c>
      <c r="Q160" s="2" t="s">
        <v>5</v>
      </c>
      <c r="R160" s="21">
        <f t="shared" si="18"/>
        <v>75000</v>
      </c>
      <c r="S160" s="21">
        <v>75000</v>
      </c>
      <c r="T160" s="5">
        <f t="shared" si="19"/>
        <v>15000</v>
      </c>
      <c r="U160">
        <f t="shared" si="20"/>
        <v>9</v>
      </c>
      <c r="V160">
        <f t="shared" si="21"/>
        <v>9</v>
      </c>
      <c r="W160" s="5">
        <f t="shared" si="22"/>
        <v>0</v>
      </c>
      <c r="X160" s="2" t="s">
        <v>6</v>
      </c>
      <c r="Y160" s="2" t="s">
        <v>2</v>
      </c>
      <c r="Z160">
        <v>765</v>
      </c>
      <c r="AC160">
        <f t="shared" si="23"/>
        <v>2024</v>
      </c>
      <c r="AD160">
        <f t="shared" si="24"/>
        <v>2024</v>
      </c>
      <c r="AE160">
        <f t="shared" si="25"/>
        <v>2024</v>
      </c>
      <c r="AF160">
        <f t="shared" si="26"/>
        <v>10</v>
      </c>
    </row>
    <row r="161" spans="1:32" x14ac:dyDescent="0.25">
      <c r="A161" s="59">
        <v>45566</v>
      </c>
      <c r="B161" s="2">
        <v>1147</v>
      </c>
      <c r="C161" s="19" t="s">
        <v>372</v>
      </c>
      <c r="D161" s="19" t="s">
        <v>2</v>
      </c>
      <c r="E161" s="19" t="s">
        <v>2</v>
      </c>
      <c r="F161" s="19" t="s">
        <v>272</v>
      </c>
      <c r="G161" s="19" t="s">
        <v>351</v>
      </c>
      <c r="H161" s="19" t="s">
        <v>634</v>
      </c>
      <c r="I161" s="19" t="s">
        <v>635</v>
      </c>
      <c r="J161" s="2" t="s">
        <v>2</v>
      </c>
      <c r="K161" s="20">
        <v>45573</v>
      </c>
      <c r="L161" s="20">
        <v>45572</v>
      </c>
      <c r="M161" s="22">
        <v>200</v>
      </c>
      <c r="N161" s="21">
        <v>198500</v>
      </c>
      <c r="O161" s="2" t="s">
        <v>76</v>
      </c>
      <c r="P161" s="2" t="s">
        <v>4</v>
      </c>
      <c r="Q161" s="2" t="s">
        <v>5</v>
      </c>
      <c r="R161" s="21">
        <f t="shared" si="18"/>
        <v>198500</v>
      </c>
      <c r="S161" s="21">
        <v>198500</v>
      </c>
      <c r="T161" s="5">
        <f t="shared" si="19"/>
        <v>15000</v>
      </c>
      <c r="U161">
        <f t="shared" si="20"/>
        <v>10</v>
      </c>
      <c r="V161">
        <f t="shared" si="21"/>
        <v>10</v>
      </c>
      <c r="W161" s="5">
        <f t="shared" si="22"/>
        <v>0</v>
      </c>
      <c r="X161" s="2" t="s">
        <v>6</v>
      </c>
      <c r="Y161" s="2" t="s">
        <v>2</v>
      </c>
      <c r="Z161">
        <v>768</v>
      </c>
      <c r="AA161" t="s">
        <v>1558</v>
      </c>
      <c r="AC161">
        <f t="shared" si="23"/>
        <v>2024</v>
      </c>
      <c r="AD161">
        <f t="shared" si="24"/>
        <v>2024</v>
      </c>
      <c r="AE161">
        <f t="shared" si="25"/>
        <v>2024</v>
      </c>
      <c r="AF161">
        <f t="shared" si="26"/>
        <v>10</v>
      </c>
    </row>
    <row r="162" spans="1:32" x14ac:dyDescent="0.25">
      <c r="A162" s="59">
        <v>45568</v>
      </c>
      <c r="B162" s="2">
        <v>1148</v>
      </c>
      <c r="C162" s="19" t="s">
        <v>495</v>
      </c>
      <c r="D162" s="19" t="s">
        <v>2</v>
      </c>
      <c r="E162" s="19" t="s">
        <v>2</v>
      </c>
      <c r="F162" s="19" t="s">
        <v>167</v>
      </c>
      <c r="G162" s="19" t="s">
        <v>396</v>
      </c>
      <c r="H162" s="19" t="s">
        <v>397</v>
      </c>
      <c r="I162" s="19" t="s">
        <v>636</v>
      </c>
      <c r="J162" s="2" t="s">
        <v>2</v>
      </c>
      <c r="K162" s="20">
        <v>45588</v>
      </c>
      <c r="L162" s="20">
        <v>45588</v>
      </c>
      <c r="M162" s="22">
        <v>490</v>
      </c>
      <c r="N162" s="21">
        <v>485650</v>
      </c>
      <c r="O162" s="2" t="s">
        <v>76</v>
      </c>
      <c r="P162" s="2" t="s">
        <v>4</v>
      </c>
      <c r="Q162" s="2" t="s">
        <v>5</v>
      </c>
      <c r="R162" s="21">
        <f t="shared" si="18"/>
        <v>485650</v>
      </c>
      <c r="S162" s="21">
        <v>485650</v>
      </c>
      <c r="T162" s="5">
        <f t="shared" si="19"/>
        <v>15000</v>
      </c>
      <c r="U162">
        <f t="shared" si="20"/>
        <v>10</v>
      </c>
      <c r="V162">
        <f t="shared" si="21"/>
        <v>10</v>
      </c>
      <c r="W162" s="5">
        <f t="shared" si="22"/>
        <v>0</v>
      </c>
      <c r="X162" s="2" t="s">
        <v>6</v>
      </c>
      <c r="Y162" s="2" t="s">
        <v>2</v>
      </c>
      <c r="Z162">
        <v>774</v>
      </c>
      <c r="AC162">
        <f t="shared" si="23"/>
        <v>2024</v>
      </c>
      <c r="AD162">
        <f t="shared" si="24"/>
        <v>2024</v>
      </c>
      <c r="AE162">
        <f t="shared" si="25"/>
        <v>2024</v>
      </c>
      <c r="AF162">
        <f t="shared" si="26"/>
        <v>10</v>
      </c>
    </row>
    <row r="163" spans="1:32" x14ac:dyDescent="0.25">
      <c r="A163" s="59">
        <v>45569</v>
      </c>
      <c r="B163" s="2">
        <v>1149</v>
      </c>
      <c r="C163" s="19" t="s">
        <v>637</v>
      </c>
      <c r="D163" s="19" t="s">
        <v>2</v>
      </c>
      <c r="E163" s="19" t="s">
        <v>2</v>
      </c>
      <c r="F163" s="19" t="s">
        <v>591</v>
      </c>
      <c r="G163" s="19" t="s">
        <v>351</v>
      </c>
      <c r="H163" s="19" t="s">
        <v>430</v>
      </c>
      <c r="I163" s="19" t="s">
        <v>638</v>
      </c>
      <c r="J163" s="2" t="s">
        <v>2</v>
      </c>
      <c r="K163" s="20">
        <v>45569</v>
      </c>
      <c r="L163" s="20">
        <v>45572</v>
      </c>
      <c r="M163" s="22">
        <v>160</v>
      </c>
      <c r="N163" s="21">
        <v>159500</v>
      </c>
      <c r="O163" s="2" t="s">
        <v>76</v>
      </c>
      <c r="P163" s="2" t="s">
        <v>4</v>
      </c>
      <c r="Q163" s="2" t="s">
        <v>5</v>
      </c>
      <c r="R163" s="21">
        <f t="shared" si="18"/>
        <v>159500</v>
      </c>
      <c r="S163" s="21">
        <v>159500</v>
      </c>
      <c r="T163" s="5">
        <f t="shared" si="19"/>
        <v>15000</v>
      </c>
      <c r="U163">
        <f t="shared" si="20"/>
        <v>10</v>
      </c>
      <c r="V163">
        <f t="shared" si="21"/>
        <v>10</v>
      </c>
      <c r="W163" s="5">
        <f t="shared" si="22"/>
        <v>0</v>
      </c>
      <c r="X163" s="2" t="s">
        <v>6</v>
      </c>
      <c r="Y163" s="2" t="s">
        <v>2</v>
      </c>
      <c r="Z163">
        <v>766</v>
      </c>
      <c r="AA163" t="s">
        <v>1559</v>
      </c>
      <c r="AC163">
        <f t="shared" si="23"/>
        <v>2024</v>
      </c>
      <c r="AD163">
        <f t="shared" si="24"/>
        <v>2024</v>
      </c>
      <c r="AE163">
        <f t="shared" si="25"/>
        <v>2024</v>
      </c>
      <c r="AF163">
        <f t="shared" si="26"/>
        <v>10</v>
      </c>
    </row>
    <row r="164" spans="1:32" x14ac:dyDescent="0.25">
      <c r="A164" s="59">
        <v>45575</v>
      </c>
      <c r="B164" s="2">
        <v>1150</v>
      </c>
      <c r="C164" s="19" t="s">
        <v>639</v>
      </c>
      <c r="D164" s="19" t="s">
        <v>2</v>
      </c>
      <c r="E164" s="19" t="s">
        <v>2</v>
      </c>
      <c r="F164" s="19" t="s">
        <v>640</v>
      </c>
      <c r="G164" s="19" t="s">
        <v>641</v>
      </c>
      <c r="H164" s="19" t="s">
        <v>642</v>
      </c>
      <c r="I164" s="19" t="s">
        <v>643</v>
      </c>
      <c r="J164" s="2" t="s">
        <v>2</v>
      </c>
      <c r="K164" s="20">
        <v>45575</v>
      </c>
      <c r="L164" s="20">
        <v>45576</v>
      </c>
      <c r="M164" s="22">
        <v>85</v>
      </c>
      <c r="N164" s="21">
        <v>85600</v>
      </c>
      <c r="O164" s="2" t="s">
        <v>76</v>
      </c>
      <c r="P164" s="2" t="s">
        <v>4</v>
      </c>
      <c r="Q164" s="2" t="s">
        <v>5</v>
      </c>
      <c r="R164" s="21">
        <f t="shared" si="18"/>
        <v>85600</v>
      </c>
      <c r="S164" s="21">
        <v>85600</v>
      </c>
      <c r="T164" s="5">
        <f t="shared" si="19"/>
        <v>15000</v>
      </c>
      <c r="U164">
        <f t="shared" si="20"/>
        <v>10</v>
      </c>
      <c r="V164">
        <f t="shared" si="21"/>
        <v>10</v>
      </c>
      <c r="W164" s="5">
        <f t="shared" si="22"/>
        <v>0</v>
      </c>
      <c r="X164" s="2" t="s">
        <v>6</v>
      </c>
      <c r="Y164" s="2" t="s">
        <v>2</v>
      </c>
      <c r="AC164">
        <f t="shared" si="23"/>
        <v>2024</v>
      </c>
      <c r="AD164">
        <f t="shared" si="24"/>
        <v>2024</v>
      </c>
      <c r="AE164">
        <f t="shared" si="25"/>
        <v>2024</v>
      </c>
      <c r="AF164">
        <f t="shared" si="26"/>
        <v>10</v>
      </c>
    </row>
    <row r="165" spans="1:32" x14ac:dyDescent="0.25">
      <c r="A165" s="59">
        <v>45579</v>
      </c>
      <c r="B165" s="2">
        <v>1151</v>
      </c>
      <c r="C165" s="19" t="s">
        <v>218</v>
      </c>
      <c r="D165" s="19" t="s">
        <v>2</v>
      </c>
      <c r="E165" s="19" t="s">
        <v>2</v>
      </c>
      <c r="F165" s="19" t="s">
        <v>644</v>
      </c>
      <c r="G165" s="19" t="s">
        <v>645</v>
      </c>
      <c r="H165" s="19" t="s">
        <v>646</v>
      </c>
      <c r="I165" s="19" t="s">
        <v>647</v>
      </c>
      <c r="J165" s="2" t="s">
        <v>2</v>
      </c>
      <c r="K165" s="20">
        <v>45579</v>
      </c>
      <c r="L165" s="20">
        <v>45600</v>
      </c>
      <c r="M165" s="22">
        <v>78</v>
      </c>
      <c r="N165" s="21">
        <v>78750</v>
      </c>
      <c r="O165" s="2" t="s">
        <v>76</v>
      </c>
      <c r="P165" s="2" t="s">
        <v>4</v>
      </c>
      <c r="Q165" s="2" t="s">
        <v>5</v>
      </c>
      <c r="R165" s="21">
        <f t="shared" si="18"/>
        <v>78750</v>
      </c>
      <c r="S165" s="21">
        <v>78750</v>
      </c>
      <c r="T165" s="5">
        <f t="shared" si="19"/>
        <v>15000</v>
      </c>
      <c r="U165">
        <f t="shared" si="20"/>
        <v>10</v>
      </c>
      <c r="V165">
        <f t="shared" si="21"/>
        <v>10</v>
      </c>
      <c r="W165" s="5">
        <f t="shared" si="22"/>
        <v>0</v>
      </c>
      <c r="X165" s="2" t="s">
        <v>6</v>
      </c>
      <c r="Y165" s="2" t="s">
        <v>2</v>
      </c>
      <c r="Z165">
        <v>791</v>
      </c>
      <c r="AA165" t="s">
        <v>1560</v>
      </c>
      <c r="AC165">
        <f t="shared" si="23"/>
        <v>2024</v>
      </c>
      <c r="AD165">
        <f t="shared" si="24"/>
        <v>2024</v>
      </c>
      <c r="AE165">
        <f t="shared" si="25"/>
        <v>2024</v>
      </c>
      <c r="AF165">
        <f t="shared" si="26"/>
        <v>11</v>
      </c>
    </row>
    <row r="166" spans="1:32" x14ac:dyDescent="0.25">
      <c r="A166" s="59">
        <v>45579</v>
      </c>
      <c r="B166" s="2">
        <v>1152</v>
      </c>
      <c r="C166" s="19" t="s">
        <v>648</v>
      </c>
      <c r="D166" s="19" t="s">
        <v>2</v>
      </c>
      <c r="E166" s="19" t="s">
        <v>2</v>
      </c>
      <c r="F166" s="19" t="s">
        <v>448</v>
      </c>
      <c r="G166" s="19" t="s">
        <v>550</v>
      </c>
      <c r="H166" s="19" t="s">
        <v>649</v>
      </c>
      <c r="I166" s="19" t="s">
        <v>552</v>
      </c>
      <c r="J166" s="2" t="s">
        <v>2</v>
      </c>
      <c r="K166" s="20">
        <v>45602</v>
      </c>
      <c r="L166" s="20">
        <v>45588</v>
      </c>
      <c r="M166" s="22">
        <v>90</v>
      </c>
      <c r="N166" s="21">
        <v>83500</v>
      </c>
      <c r="O166" s="2" t="s">
        <v>76</v>
      </c>
      <c r="P166" s="2" t="s">
        <v>4</v>
      </c>
      <c r="Q166" s="2" t="s">
        <v>5</v>
      </c>
      <c r="R166" s="21">
        <f t="shared" si="18"/>
        <v>83500</v>
      </c>
      <c r="S166" s="21">
        <v>83500</v>
      </c>
      <c r="T166" s="5">
        <f t="shared" si="19"/>
        <v>15000</v>
      </c>
      <c r="U166">
        <f t="shared" si="20"/>
        <v>11</v>
      </c>
      <c r="V166">
        <f t="shared" si="21"/>
        <v>10</v>
      </c>
      <c r="W166" s="5">
        <f t="shared" si="22"/>
        <v>0</v>
      </c>
      <c r="X166" s="2" t="s">
        <v>6</v>
      </c>
      <c r="Y166" s="2" t="s">
        <v>2</v>
      </c>
      <c r="Z166">
        <v>777</v>
      </c>
      <c r="AA166" t="s">
        <v>1561</v>
      </c>
      <c r="AC166">
        <f t="shared" si="23"/>
        <v>2024</v>
      </c>
      <c r="AD166">
        <f t="shared" si="24"/>
        <v>2024</v>
      </c>
      <c r="AE166">
        <f t="shared" si="25"/>
        <v>2024</v>
      </c>
      <c r="AF166">
        <f t="shared" si="26"/>
        <v>10</v>
      </c>
    </row>
    <row r="167" spans="1:32" x14ac:dyDescent="0.25">
      <c r="A167" s="59">
        <v>45580.125</v>
      </c>
      <c r="B167" s="2">
        <v>1153</v>
      </c>
      <c r="C167" s="19" t="s">
        <v>650</v>
      </c>
      <c r="D167" s="19" t="s">
        <v>2</v>
      </c>
      <c r="E167" s="19" t="s">
        <v>2</v>
      </c>
      <c r="F167" s="19" t="s">
        <v>651</v>
      </c>
      <c r="G167" s="19" t="s">
        <v>652</v>
      </c>
      <c r="H167" s="19" t="s">
        <v>653</v>
      </c>
      <c r="I167" s="19" t="s">
        <v>654</v>
      </c>
      <c r="J167" s="2" t="s">
        <v>2</v>
      </c>
      <c r="K167" s="20">
        <v>45595.125</v>
      </c>
      <c r="L167" s="20">
        <v>45588.125</v>
      </c>
      <c r="M167" s="22">
        <v>148</v>
      </c>
      <c r="N167" s="21">
        <v>154400</v>
      </c>
      <c r="O167" s="2" t="s">
        <v>76</v>
      </c>
      <c r="P167" s="2" t="s">
        <v>4</v>
      </c>
      <c r="Q167" s="2" t="s">
        <v>5</v>
      </c>
      <c r="R167" s="21">
        <f t="shared" si="18"/>
        <v>154400</v>
      </c>
      <c r="S167" s="21">
        <v>154400</v>
      </c>
      <c r="T167" s="5">
        <f t="shared" si="19"/>
        <v>15000</v>
      </c>
      <c r="U167">
        <f t="shared" si="20"/>
        <v>10</v>
      </c>
      <c r="V167">
        <f t="shared" si="21"/>
        <v>10</v>
      </c>
      <c r="W167" s="5">
        <f t="shared" si="22"/>
        <v>0</v>
      </c>
      <c r="X167" s="2" t="s">
        <v>6</v>
      </c>
      <c r="Y167" s="2" t="s">
        <v>2</v>
      </c>
      <c r="Z167">
        <v>775</v>
      </c>
      <c r="AC167">
        <f t="shared" si="23"/>
        <v>2024</v>
      </c>
      <c r="AD167">
        <f t="shared" si="24"/>
        <v>2024</v>
      </c>
      <c r="AE167">
        <f t="shared" si="25"/>
        <v>2024</v>
      </c>
      <c r="AF167">
        <f t="shared" si="26"/>
        <v>10</v>
      </c>
    </row>
    <row r="168" spans="1:32" x14ac:dyDescent="0.25">
      <c r="A168" s="59">
        <v>45580.125</v>
      </c>
      <c r="B168" s="2">
        <v>1154</v>
      </c>
      <c r="C168" s="19" t="s">
        <v>650</v>
      </c>
      <c r="D168" s="19" t="s">
        <v>2</v>
      </c>
      <c r="E168" s="19" t="s">
        <v>2</v>
      </c>
      <c r="F168" s="19" t="s">
        <v>655</v>
      </c>
      <c r="G168" s="19" t="s">
        <v>656</v>
      </c>
      <c r="H168" s="19" t="s">
        <v>657</v>
      </c>
      <c r="I168" s="19" t="s">
        <v>658</v>
      </c>
      <c r="J168" s="2" t="s">
        <v>2</v>
      </c>
      <c r="K168" s="20">
        <v>45595.125</v>
      </c>
      <c r="L168" s="20">
        <v>45588.125</v>
      </c>
      <c r="M168" s="22">
        <v>145</v>
      </c>
      <c r="N168" s="21">
        <v>145600</v>
      </c>
      <c r="O168" s="2" t="s">
        <v>76</v>
      </c>
      <c r="P168" s="2" t="s">
        <v>4</v>
      </c>
      <c r="Q168" s="2" t="s">
        <v>5</v>
      </c>
      <c r="R168" s="21">
        <f t="shared" si="18"/>
        <v>145600</v>
      </c>
      <c r="S168" s="21">
        <v>145600</v>
      </c>
      <c r="T168" s="5">
        <f t="shared" si="19"/>
        <v>15000</v>
      </c>
      <c r="U168">
        <f t="shared" si="20"/>
        <v>10</v>
      </c>
      <c r="V168">
        <f t="shared" si="21"/>
        <v>10</v>
      </c>
      <c r="W168" s="5">
        <f t="shared" si="22"/>
        <v>0</v>
      </c>
      <c r="X168" s="2" t="s">
        <v>6</v>
      </c>
      <c r="Y168" s="2" t="s">
        <v>2</v>
      </c>
      <c r="Z168">
        <v>775</v>
      </c>
      <c r="AC168">
        <f t="shared" si="23"/>
        <v>2024</v>
      </c>
      <c r="AD168">
        <f t="shared" si="24"/>
        <v>2024</v>
      </c>
      <c r="AE168">
        <f t="shared" si="25"/>
        <v>2024</v>
      </c>
      <c r="AF168">
        <f t="shared" si="26"/>
        <v>10</v>
      </c>
    </row>
    <row r="169" spans="1:32" x14ac:dyDescent="0.25">
      <c r="A169" s="59">
        <v>45583</v>
      </c>
      <c r="B169" s="2">
        <v>1155</v>
      </c>
      <c r="C169" s="19" t="s">
        <v>1000</v>
      </c>
      <c r="D169" s="19" t="s">
        <v>2</v>
      </c>
      <c r="E169" s="19" t="s">
        <v>2</v>
      </c>
      <c r="F169" s="19" t="s">
        <v>399</v>
      </c>
      <c r="G169" s="19" t="s">
        <v>351</v>
      </c>
      <c r="H169" s="19" t="s">
        <v>430</v>
      </c>
      <c r="I169" s="19" t="s">
        <v>659</v>
      </c>
      <c r="J169" s="2" t="s">
        <v>2</v>
      </c>
      <c r="K169" s="20">
        <v>45583</v>
      </c>
      <c r="L169" s="20">
        <v>45583</v>
      </c>
      <c r="M169" s="22">
        <v>152</v>
      </c>
      <c r="N169" s="21">
        <v>152500</v>
      </c>
      <c r="O169" s="2" t="s">
        <v>76</v>
      </c>
      <c r="P169" s="2" t="s">
        <v>4</v>
      </c>
      <c r="Q169" s="2" t="s">
        <v>5</v>
      </c>
      <c r="R169" s="21">
        <f t="shared" si="18"/>
        <v>152500</v>
      </c>
      <c r="S169" s="21">
        <v>152500</v>
      </c>
      <c r="T169" s="5">
        <f t="shared" si="19"/>
        <v>15000</v>
      </c>
      <c r="U169">
        <f t="shared" si="20"/>
        <v>10</v>
      </c>
      <c r="V169">
        <f t="shared" si="21"/>
        <v>10</v>
      </c>
      <c r="W169" s="5">
        <f t="shared" si="22"/>
        <v>0</v>
      </c>
      <c r="X169" s="2" t="s">
        <v>6</v>
      </c>
      <c r="Y169" s="2" t="s">
        <v>2</v>
      </c>
      <c r="Z169">
        <v>772</v>
      </c>
      <c r="AA169" t="s">
        <v>1562</v>
      </c>
      <c r="AC169">
        <f t="shared" si="23"/>
        <v>2024</v>
      </c>
      <c r="AD169">
        <f t="shared" si="24"/>
        <v>2024</v>
      </c>
      <c r="AE169">
        <f t="shared" si="25"/>
        <v>2024</v>
      </c>
      <c r="AF169">
        <f t="shared" si="26"/>
        <v>10</v>
      </c>
    </row>
    <row r="170" spans="1:32" x14ac:dyDescent="0.25">
      <c r="A170" s="59">
        <v>45586</v>
      </c>
      <c r="B170" s="2">
        <v>1156</v>
      </c>
      <c r="C170" s="19" t="s">
        <v>535</v>
      </c>
      <c r="D170" s="19" t="s">
        <v>2</v>
      </c>
      <c r="E170" s="19" t="s">
        <v>2</v>
      </c>
      <c r="F170" s="19" t="s">
        <v>660</v>
      </c>
      <c r="G170" s="19" t="s">
        <v>661</v>
      </c>
      <c r="H170" s="19" t="s">
        <v>662</v>
      </c>
      <c r="I170" s="19" t="s">
        <v>663</v>
      </c>
      <c r="J170" s="2" t="s">
        <v>2</v>
      </c>
      <c r="K170" s="20">
        <v>45586</v>
      </c>
      <c r="L170" s="20">
        <v>45588</v>
      </c>
      <c r="M170" s="22">
        <v>127</v>
      </c>
      <c r="N170" s="21">
        <v>127500</v>
      </c>
      <c r="O170" s="2" t="s">
        <v>76</v>
      </c>
      <c r="P170" s="2" t="s">
        <v>4</v>
      </c>
      <c r="Q170" s="2" t="s">
        <v>5</v>
      </c>
      <c r="R170" s="21">
        <f t="shared" si="18"/>
        <v>127500</v>
      </c>
      <c r="S170" s="21">
        <v>127500</v>
      </c>
      <c r="T170" s="5">
        <f t="shared" si="19"/>
        <v>15000</v>
      </c>
      <c r="U170">
        <f t="shared" si="20"/>
        <v>10</v>
      </c>
      <c r="V170">
        <f t="shared" si="21"/>
        <v>10</v>
      </c>
      <c r="W170" s="5">
        <f t="shared" si="22"/>
        <v>0</v>
      </c>
      <c r="X170" s="2" t="s">
        <v>6</v>
      </c>
      <c r="Y170" s="2" t="s">
        <v>2</v>
      </c>
      <c r="Z170">
        <v>773</v>
      </c>
      <c r="AC170">
        <f t="shared" si="23"/>
        <v>2024</v>
      </c>
      <c r="AD170">
        <f t="shared" si="24"/>
        <v>2024</v>
      </c>
      <c r="AE170">
        <f t="shared" si="25"/>
        <v>2024</v>
      </c>
      <c r="AF170">
        <f t="shared" si="26"/>
        <v>10</v>
      </c>
    </row>
    <row r="171" spans="1:32" x14ac:dyDescent="0.25">
      <c r="A171" s="59">
        <v>45587</v>
      </c>
      <c r="B171" s="2">
        <v>1157</v>
      </c>
      <c r="C171" s="19" t="s">
        <v>98</v>
      </c>
      <c r="D171" s="19" t="s">
        <v>2</v>
      </c>
      <c r="E171" s="19" t="s">
        <v>2</v>
      </c>
      <c r="F171" s="19" t="s">
        <v>664</v>
      </c>
      <c r="G171" s="19" t="s">
        <v>665</v>
      </c>
      <c r="H171" s="19" t="s">
        <v>666</v>
      </c>
      <c r="I171" s="19" t="s">
        <v>667</v>
      </c>
      <c r="J171" s="2" t="s">
        <v>2</v>
      </c>
      <c r="K171" s="20">
        <v>45588</v>
      </c>
      <c r="L171" s="20">
        <v>45588</v>
      </c>
      <c r="M171" s="22">
        <v>50</v>
      </c>
      <c r="N171" s="21">
        <v>55300</v>
      </c>
      <c r="O171" s="2" t="s">
        <v>76</v>
      </c>
      <c r="P171" s="2" t="s">
        <v>4</v>
      </c>
      <c r="Q171" s="2" t="s">
        <v>5</v>
      </c>
      <c r="R171" s="21">
        <f t="shared" si="18"/>
        <v>55300</v>
      </c>
      <c r="S171" s="21">
        <v>55300</v>
      </c>
      <c r="T171" s="5">
        <f t="shared" si="19"/>
        <v>15000</v>
      </c>
      <c r="U171">
        <f t="shared" si="20"/>
        <v>10</v>
      </c>
      <c r="V171">
        <f t="shared" si="21"/>
        <v>10</v>
      </c>
      <c r="W171" s="5">
        <f t="shared" si="22"/>
        <v>0</v>
      </c>
      <c r="X171" s="2" t="s">
        <v>6</v>
      </c>
      <c r="Y171" s="2" t="s">
        <v>2</v>
      </c>
      <c r="Z171">
        <v>776</v>
      </c>
      <c r="AA171" t="s">
        <v>1563</v>
      </c>
      <c r="AC171">
        <f t="shared" si="23"/>
        <v>2024</v>
      </c>
      <c r="AD171">
        <f t="shared" si="24"/>
        <v>2024</v>
      </c>
      <c r="AE171">
        <f t="shared" si="25"/>
        <v>2024</v>
      </c>
      <c r="AF171">
        <f t="shared" si="26"/>
        <v>10</v>
      </c>
    </row>
    <row r="172" spans="1:32" x14ac:dyDescent="0.25">
      <c r="A172" s="59">
        <v>45588.125</v>
      </c>
      <c r="B172" s="2">
        <v>1158</v>
      </c>
      <c r="C172" s="19" t="s">
        <v>218</v>
      </c>
      <c r="D172" s="19" t="s">
        <v>2</v>
      </c>
      <c r="E172" s="19" t="s">
        <v>2</v>
      </c>
      <c r="F172" s="19" t="s">
        <v>668</v>
      </c>
      <c r="G172" s="19" t="s">
        <v>669</v>
      </c>
      <c r="H172" s="19" t="s">
        <v>670</v>
      </c>
      <c r="I172" s="19" t="s">
        <v>671</v>
      </c>
      <c r="J172" s="2" t="s">
        <v>2</v>
      </c>
      <c r="K172" s="20">
        <v>45588.125</v>
      </c>
      <c r="L172" s="20">
        <v>45622.125</v>
      </c>
      <c r="M172" s="22">
        <v>0</v>
      </c>
      <c r="N172" s="21">
        <v>0</v>
      </c>
      <c r="O172" s="2" t="s">
        <v>76</v>
      </c>
      <c r="P172" s="2" t="s">
        <v>320</v>
      </c>
      <c r="Q172" s="2" t="s">
        <v>5</v>
      </c>
      <c r="R172" s="21">
        <f t="shared" si="18"/>
        <v>0</v>
      </c>
      <c r="S172" s="21">
        <v>0</v>
      </c>
      <c r="T172" s="5">
        <f t="shared" si="19"/>
        <v>15000</v>
      </c>
      <c r="U172">
        <f t="shared" si="20"/>
        <v>10</v>
      </c>
      <c r="V172">
        <f t="shared" si="21"/>
        <v>10</v>
      </c>
      <c r="W172" s="5">
        <f t="shared" si="22"/>
        <v>0</v>
      </c>
      <c r="X172" s="2" t="s">
        <v>6</v>
      </c>
      <c r="Y172" s="2" t="s">
        <v>2</v>
      </c>
      <c r="Z172">
        <v>791</v>
      </c>
      <c r="AC172">
        <f t="shared" si="23"/>
        <v>2024</v>
      </c>
      <c r="AD172">
        <f t="shared" si="24"/>
        <v>2024</v>
      </c>
      <c r="AE172">
        <f t="shared" si="25"/>
        <v>2024</v>
      </c>
      <c r="AF172">
        <f t="shared" si="26"/>
        <v>11</v>
      </c>
    </row>
    <row r="173" spans="1:32" x14ac:dyDescent="0.25">
      <c r="A173" s="59">
        <v>45595</v>
      </c>
      <c r="B173" s="2">
        <v>1159</v>
      </c>
      <c r="C173" s="19" t="s">
        <v>1</v>
      </c>
      <c r="D173" s="19" t="s">
        <v>2</v>
      </c>
      <c r="E173" s="19" t="s">
        <v>2</v>
      </c>
      <c r="F173" s="19" t="s">
        <v>672</v>
      </c>
      <c r="G173" s="19" t="s">
        <v>673</v>
      </c>
      <c r="H173" s="19" t="s">
        <v>674</v>
      </c>
      <c r="I173" s="19" t="s">
        <v>675</v>
      </c>
      <c r="J173" s="2" t="s">
        <v>2</v>
      </c>
      <c r="K173" s="20">
        <v>45693</v>
      </c>
      <c r="L173" s="20">
        <v>45693</v>
      </c>
      <c r="M173" s="22">
        <v>590</v>
      </c>
      <c r="N173" s="21">
        <v>595900</v>
      </c>
      <c r="O173" s="2" t="s">
        <v>3</v>
      </c>
      <c r="P173" s="2" t="s">
        <v>145</v>
      </c>
      <c r="Q173" s="2" t="s">
        <v>146</v>
      </c>
      <c r="R173" s="21">
        <f t="shared" si="18"/>
        <v>0</v>
      </c>
      <c r="S173" s="21">
        <v>0</v>
      </c>
      <c r="T173" s="5">
        <f t="shared" si="19"/>
        <v>15000</v>
      </c>
      <c r="U173">
        <f t="shared" si="20"/>
        <v>2</v>
      </c>
      <c r="V173">
        <f t="shared" si="21"/>
        <v>10</v>
      </c>
      <c r="W173" s="5">
        <f t="shared" si="22"/>
        <v>0</v>
      </c>
      <c r="X173" s="2" t="s">
        <v>6</v>
      </c>
      <c r="Y173" s="2" t="s">
        <v>2</v>
      </c>
      <c r="AC173">
        <f t="shared" si="23"/>
        <v>2025</v>
      </c>
      <c r="AD173">
        <f t="shared" si="24"/>
        <v>2024</v>
      </c>
      <c r="AE173">
        <f t="shared" si="25"/>
        <v>2025</v>
      </c>
      <c r="AF173">
        <f t="shared" si="26"/>
        <v>2</v>
      </c>
    </row>
    <row r="174" spans="1:32" x14ac:dyDescent="0.25">
      <c r="A174" s="59">
        <v>45595</v>
      </c>
      <c r="B174" s="2">
        <v>1160</v>
      </c>
      <c r="C174" s="19" t="s">
        <v>676</v>
      </c>
      <c r="D174" s="19" t="s">
        <v>2</v>
      </c>
      <c r="E174" s="19" t="s">
        <v>2</v>
      </c>
      <c r="F174" s="19" t="s">
        <v>677</v>
      </c>
      <c r="G174" s="19" t="s">
        <v>678</v>
      </c>
      <c r="H174" s="19" t="s">
        <v>679</v>
      </c>
      <c r="I174" s="19" t="s">
        <v>680</v>
      </c>
      <c r="J174" s="2" t="s">
        <v>2</v>
      </c>
      <c r="K174" s="20">
        <v>45595</v>
      </c>
      <c r="L174" s="20">
        <v>45603</v>
      </c>
      <c r="M174" s="22">
        <v>410</v>
      </c>
      <c r="N174" s="21">
        <v>414100</v>
      </c>
      <c r="O174" s="2" t="s">
        <v>76</v>
      </c>
      <c r="P174" s="2" t="s">
        <v>4</v>
      </c>
      <c r="Q174" s="2" t="s">
        <v>5</v>
      </c>
      <c r="R174" s="21">
        <f t="shared" si="18"/>
        <v>414100</v>
      </c>
      <c r="S174" s="21">
        <v>414100</v>
      </c>
      <c r="T174" s="5">
        <f t="shared" si="19"/>
        <v>15000</v>
      </c>
      <c r="U174">
        <f t="shared" si="20"/>
        <v>10</v>
      </c>
      <c r="V174">
        <f t="shared" si="21"/>
        <v>10</v>
      </c>
      <c r="W174" s="5">
        <f t="shared" si="22"/>
        <v>0</v>
      </c>
      <c r="X174" s="2" t="s">
        <v>6</v>
      </c>
      <c r="Y174" s="2" t="s">
        <v>2</v>
      </c>
      <c r="Z174">
        <v>779</v>
      </c>
      <c r="AA174" t="s">
        <v>1564</v>
      </c>
      <c r="AC174">
        <f t="shared" si="23"/>
        <v>2024</v>
      </c>
      <c r="AD174">
        <f t="shared" si="24"/>
        <v>2024</v>
      </c>
      <c r="AE174">
        <f t="shared" si="25"/>
        <v>2024</v>
      </c>
      <c r="AF174">
        <f t="shared" si="26"/>
        <v>11</v>
      </c>
    </row>
    <row r="175" spans="1:32" x14ac:dyDescent="0.25">
      <c r="A175" s="59">
        <v>45597</v>
      </c>
      <c r="B175" s="2">
        <v>1161</v>
      </c>
      <c r="C175" s="19" t="s">
        <v>1732</v>
      </c>
      <c r="D175" s="19" t="s">
        <v>2</v>
      </c>
      <c r="E175" s="19" t="s">
        <v>2</v>
      </c>
      <c r="F175" s="19" t="s">
        <v>681</v>
      </c>
      <c r="G175" s="19" t="s">
        <v>369</v>
      </c>
      <c r="H175" s="19" t="s">
        <v>682</v>
      </c>
      <c r="I175" s="19" t="s">
        <v>683</v>
      </c>
      <c r="J175" s="2" t="s">
        <v>2</v>
      </c>
      <c r="K175" s="20">
        <v>45667</v>
      </c>
      <c r="L175" s="20">
        <v>45667</v>
      </c>
      <c r="M175" s="22">
        <v>190</v>
      </c>
      <c r="N175" s="21">
        <v>189500</v>
      </c>
      <c r="O175" s="2" t="s">
        <v>76</v>
      </c>
      <c r="P175" s="2" t="s">
        <v>145</v>
      </c>
      <c r="Q175" s="2" t="s">
        <v>146</v>
      </c>
      <c r="R175" s="21">
        <f t="shared" si="18"/>
        <v>0</v>
      </c>
      <c r="S175" s="21">
        <v>0</v>
      </c>
      <c r="T175" s="5">
        <f t="shared" si="19"/>
        <v>15000</v>
      </c>
      <c r="U175">
        <f t="shared" si="20"/>
        <v>1</v>
      </c>
      <c r="V175">
        <f t="shared" si="21"/>
        <v>11</v>
      </c>
      <c r="W175" s="5">
        <f t="shared" si="22"/>
        <v>0</v>
      </c>
      <c r="X175" s="2" t="s">
        <v>6</v>
      </c>
      <c r="Y175" s="2" t="s">
        <v>2</v>
      </c>
      <c r="AC175">
        <f t="shared" si="23"/>
        <v>2025</v>
      </c>
      <c r="AD175">
        <f t="shared" si="24"/>
        <v>2024</v>
      </c>
      <c r="AE175">
        <f t="shared" si="25"/>
        <v>2025</v>
      </c>
      <c r="AF175">
        <f t="shared" si="26"/>
        <v>1</v>
      </c>
    </row>
    <row r="176" spans="1:32" x14ac:dyDescent="0.25">
      <c r="A176" s="59">
        <v>45601</v>
      </c>
      <c r="B176" s="2">
        <v>1162</v>
      </c>
      <c r="C176" s="19" t="s">
        <v>535</v>
      </c>
      <c r="D176" s="19" t="s">
        <v>2</v>
      </c>
      <c r="E176" s="19" t="s">
        <v>2</v>
      </c>
      <c r="F176" s="19" t="s">
        <v>591</v>
      </c>
      <c r="G176" s="19" t="s">
        <v>94</v>
      </c>
      <c r="H176" s="19" t="s">
        <v>321</v>
      </c>
      <c r="I176" s="19" t="s">
        <v>684</v>
      </c>
      <c r="J176" s="2" t="s">
        <v>2</v>
      </c>
      <c r="K176" s="20">
        <v>45601</v>
      </c>
      <c r="L176" s="20">
        <v>45602</v>
      </c>
      <c r="M176" s="22">
        <v>170</v>
      </c>
      <c r="N176" s="21">
        <v>172500</v>
      </c>
      <c r="O176" s="2" t="s">
        <v>76</v>
      </c>
      <c r="P176" s="2" t="s">
        <v>4</v>
      </c>
      <c r="Q176" s="2" t="s">
        <v>5</v>
      </c>
      <c r="R176" s="21">
        <f t="shared" si="18"/>
        <v>172500</v>
      </c>
      <c r="S176" s="21">
        <v>172500</v>
      </c>
      <c r="T176" s="5">
        <f t="shared" si="19"/>
        <v>15000</v>
      </c>
      <c r="U176">
        <f t="shared" si="20"/>
        <v>11</v>
      </c>
      <c r="V176">
        <f t="shared" si="21"/>
        <v>11</v>
      </c>
      <c r="W176" s="5">
        <f t="shared" si="22"/>
        <v>0</v>
      </c>
      <c r="X176" s="2" t="s">
        <v>6</v>
      </c>
      <c r="Y176" s="2" t="s">
        <v>2</v>
      </c>
      <c r="Z176">
        <v>778</v>
      </c>
      <c r="AC176">
        <f t="shared" si="23"/>
        <v>2024</v>
      </c>
      <c r="AD176">
        <f t="shared" si="24"/>
        <v>2024</v>
      </c>
      <c r="AE176">
        <f t="shared" si="25"/>
        <v>2024</v>
      </c>
      <c r="AF176">
        <f t="shared" si="26"/>
        <v>11</v>
      </c>
    </row>
    <row r="177" spans="1:32" x14ac:dyDescent="0.25">
      <c r="A177" s="59">
        <v>45607.125</v>
      </c>
      <c r="B177" s="2">
        <v>1163</v>
      </c>
      <c r="C177" s="19" t="s">
        <v>367</v>
      </c>
      <c r="D177" s="19" t="s">
        <v>2</v>
      </c>
      <c r="E177" s="19" t="s">
        <v>2</v>
      </c>
      <c r="F177" s="19" t="s">
        <v>685</v>
      </c>
      <c r="G177" s="19" t="s">
        <v>107</v>
      </c>
      <c r="H177" s="19" t="s">
        <v>686</v>
      </c>
      <c r="I177" s="19" t="s">
        <v>687</v>
      </c>
      <c r="J177" s="2" t="s">
        <v>2</v>
      </c>
      <c r="K177" s="20">
        <v>45607.125</v>
      </c>
      <c r="L177" s="20">
        <v>45611.125</v>
      </c>
      <c r="M177" s="22">
        <v>980</v>
      </c>
      <c r="N177" s="21">
        <v>996660</v>
      </c>
      <c r="O177" s="2" t="s">
        <v>76</v>
      </c>
      <c r="P177" s="2" t="s">
        <v>4</v>
      </c>
      <c r="Q177" s="2" t="s">
        <v>5</v>
      </c>
      <c r="R177" s="21">
        <f t="shared" si="18"/>
        <v>996660</v>
      </c>
      <c r="S177" s="21">
        <v>996660</v>
      </c>
      <c r="T177" s="5">
        <f t="shared" si="19"/>
        <v>15000</v>
      </c>
      <c r="U177">
        <f t="shared" si="20"/>
        <v>11</v>
      </c>
      <c r="V177">
        <f t="shared" si="21"/>
        <v>11</v>
      </c>
      <c r="W177" s="5">
        <f t="shared" si="22"/>
        <v>0</v>
      </c>
      <c r="X177" s="2" t="s">
        <v>6</v>
      </c>
      <c r="Y177" s="2" t="s">
        <v>2</v>
      </c>
      <c r="Z177">
        <v>789</v>
      </c>
      <c r="AA177" t="s">
        <v>1565</v>
      </c>
      <c r="AC177">
        <f t="shared" si="23"/>
        <v>2024</v>
      </c>
      <c r="AD177">
        <f t="shared" si="24"/>
        <v>2024</v>
      </c>
      <c r="AE177">
        <f t="shared" si="25"/>
        <v>2024</v>
      </c>
      <c r="AF177">
        <f t="shared" si="26"/>
        <v>11</v>
      </c>
    </row>
    <row r="178" spans="1:32" x14ac:dyDescent="0.25">
      <c r="A178" s="59">
        <v>45608</v>
      </c>
      <c r="B178" s="2">
        <v>1164</v>
      </c>
      <c r="C178" s="19" t="s">
        <v>180</v>
      </c>
      <c r="D178" s="19" t="s">
        <v>2</v>
      </c>
      <c r="E178" s="19" t="s">
        <v>2</v>
      </c>
      <c r="F178" s="19" t="s">
        <v>181</v>
      </c>
      <c r="G178" s="19" t="s">
        <v>182</v>
      </c>
      <c r="H178" s="19" t="s">
        <v>183</v>
      </c>
      <c r="I178" s="19" t="s">
        <v>184</v>
      </c>
      <c r="J178" s="2" t="s">
        <v>2</v>
      </c>
      <c r="K178" s="20">
        <v>45621</v>
      </c>
      <c r="L178" s="20">
        <v>45611</v>
      </c>
      <c r="M178" s="22">
        <v>150</v>
      </c>
      <c r="N178" s="21">
        <v>152550</v>
      </c>
      <c r="O178" s="2" t="s">
        <v>76</v>
      </c>
      <c r="P178" s="2" t="s">
        <v>4</v>
      </c>
      <c r="Q178" s="2" t="s">
        <v>5</v>
      </c>
      <c r="R178" s="21">
        <f t="shared" si="18"/>
        <v>152550</v>
      </c>
      <c r="S178" s="21">
        <v>152550</v>
      </c>
      <c r="T178" s="5">
        <f t="shared" si="19"/>
        <v>15000</v>
      </c>
      <c r="U178">
        <f t="shared" si="20"/>
        <v>11</v>
      </c>
      <c r="V178">
        <f t="shared" si="21"/>
        <v>11</v>
      </c>
      <c r="W178" s="5">
        <f t="shared" si="22"/>
        <v>0</v>
      </c>
      <c r="X178" s="2" t="s">
        <v>6</v>
      </c>
      <c r="Y178" s="2" t="s">
        <v>2</v>
      </c>
      <c r="Z178">
        <v>788</v>
      </c>
      <c r="AC178">
        <f t="shared" si="23"/>
        <v>2024</v>
      </c>
      <c r="AD178">
        <f t="shared" si="24"/>
        <v>2024</v>
      </c>
      <c r="AE178">
        <f t="shared" si="25"/>
        <v>2024</v>
      </c>
      <c r="AF178">
        <f t="shared" si="26"/>
        <v>11</v>
      </c>
    </row>
    <row r="179" spans="1:32" x14ac:dyDescent="0.25">
      <c r="A179" s="59">
        <v>45609</v>
      </c>
      <c r="B179" s="2">
        <v>1165</v>
      </c>
      <c r="C179" s="19" t="s">
        <v>688</v>
      </c>
      <c r="D179" s="19" t="s">
        <v>2</v>
      </c>
      <c r="E179" s="19" t="s">
        <v>2</v>
      </c>
      <c r="F179" s="19" t="s">
        <v>399</v>
      </c>
      <c r="G179" s="19" t="s">
        <v>280</v>
      </c>
      <c r="H179" s="19" t="s">
        <v>589</v>
      </c>
      <c r="I179" s="19" t="s">
        <v>689</v>
      </c>
      <c r="J179" s="2" t="s">
        <v>2</v>
      </c>
      <c r="K179" s="20">
        <v>45609</v>
      </c>
      <c r="L179" s="20">
        <v>45610</v>
      </c>
      <c r="M179" s="22">
        <v>225</v>
      </c>
      <c r="N179" s="21">
        <v>225600</v>
      </c>
      <c r="O179" s="2" t="s">
        <v>76</v>
      </c>
      <c r="P179" s="2" t="s">
        <v>4</v>
      </c>
      <c r="Q179" s="2" t="s">
        <v>5</v>
      </c>
      <c r="R179" s="21">
        <f t="shared" si="18"/>
        <v>225600</v>
      </c>
      <c r="S179" s="21">
        <v>225600</v>
      </c>
      <c r="T179" s="5">
        <f t="shared" si="19"/>
        <v>15000</v>
      </c>
      <c r="U179">
        <f t="shared" si="20"/>
        <v>11</v>
      </c>
      <c r="V179">
        <f t="shared" si="21"/>
        <v>11</v>
      </c>
      <c r="W179" s="5">
        <f t="shared" si="22"/>
        <v>0</v>
      </c>
      <c r="X179" s="2" t="s">
        <v>6</v>
      </c>
      <c r="Y179" s="2" t="s">
        <v>2</v>
      </c>
      <c r="Z179">
        <v>780</v>
      </c>
      <c r="AA179" t="s">
        <v>1566</v>
      </c>
      <c r="AC179">
        <f t="shared" si="23"/>
        <v>2024</v>
      </c>
      <c r="AD179">
        <f t="shared" si="24"/>
        <v>2024</v>
      </c>
      <c r="AE179">
        <f t="shared" si="25"/>
        <v>2024</v>
      </c>
      <c r="AF179">
        <f t="shared" si="26"/>
        <v>11</v>
      </c>
    </row>
    <row r="180" spans="1:32" x14ac:dyDescent="0.25">
      <c r="A180" s="59">
        <v>45610</v>
      </c>
      <c r="B180" s="2">
        <v>1166</v>
      </c>
      <c r="C180" s="19" t="s">
        <v>564</v>
      </c>
      <c r="D180" s="19" t="s">
        <v>2</v>
      </c>
      <c r="E180" s="19" t="s">
        <v>2</v>
      </c>
      <c r="F180" s="19" t="s">
        <v>399</v>
      </c>
      <c r="G180" s="19" t="s">
        <v>94</v>
      </c>
      <c r="H180" s="19" t="s">
        <v>690</v>
      </c>
      <c r="I180" s="19" t="s">
        <v>691</v>
      </c>
      <c r="J180" s="2" t="s">
        <v>2</v>
      </c>
      <c r="K180" s="20">
        <v>45611</v>
      </c>
      <c r="L180" s="20">
        <v>45611</v>
      </c>
      <c r="M180" s="22">
        <v>174</v>
      </c>
      <c r="N180" s="21">
        <v>177500</v>
      </c>
      <c r="O180" s="2" t="s">
        <v>76</v>
      </c>
      <c r="P180" s="2" t="s">
        <v>4</v>
      </c>
      <c r="Q180" s="2" t="s">
        <v>5</v>
      </c>
      <c r="R180" s="21">
        <f t="shared" si="18"/>
        <v>177500</v>
      </c>
      <c r="S180" s="21">
        <v>177500</v>
      </c>
      <c r="T180" s="5">
        <f t="shared" si="19"/>
        <v>15000</v>
      </c>
      <c r="U180">
        <f t="shared" si="20"/>
        <v>11</v>
      </c>
      <c r="V180">
        <f t="shared" si="21"/>
        <v>11</v>
      </c>
      <c r="W180" s="5">
        <f t="shared" si="22"/>
        <v>0</v>
      </c>
      <c r="X180" s="2" t="s">
        <v>6</v>
      </c>
      <c r="Y180" s="2" t="s">
        <v>2</v>
      </c>
      <c r="Z180">
        <v>781</v>
      </c>
      <c r="AC180">
        <f t="shared" si="23"/>
        <v>2024</v>
      </c>
      <c r="AD180">
        <f t="shared" si="24"/>
        <v>2024</v>
      </c>
      <c r="AE180">
        <f t="shared" si="25"/>
        <v>2024</v>
      </c>
      <c r="AF180">
        <f t="shared" si="26"/>
        <v>11</v>
      </c>
    </row>
    <row r="181" spans="1:32" x14ac:dyDescent="0.25">
      <c r="A181" s="59">
        <v>45610</v>
      </c>
      <c r="B181" s="2">
        <v>1167</v>
      </c>
      <c r="C181" s="19" t="s">
        <v>692</v>
      </c>
      <c r="D181" s="19" t="s">
        <v>2</v>
      </c>
      <c r="E181" s="19" t="s">
        <v>2</v>
      </c>
      <c r="F181" s="19" t="s">
        <v>693</v>
      </c>
      <c r="G181" s="19" t="s">
        <v>607</v>
      </c>
      <c r="H181" s="19" t="s">
        <v>694</v>
      </c>
      <c r="I181" s="19" t="s">
        <v>695</v>
      </c>
      <c r="J181" s="2" t="s">
        <v>2</v>
      </c>
      <c r="K181" s="20">
        <v>45617</v>
      </c>
      <c r="L181" s="20">
        <v>45611</v>
      </c>
      <c r="M181" s="22">
        <v>225</v>
      </c>
      <c r="N181" s="21">
        <v>229500</v>
      </c>
      <c r="O181" s="2" t="s">
        <v>76</v>
      </c>
      <c r="P181" s="2" t="s">
        <v>4</v>
      </c>
      <c r="Q181" s="2" t="s">
        <v>5</v>
      </c>
      <c r="R181" s="21">
        <f t="shared" si="18"/>
        <v>229500</v>
      </c>
      <c r="S181" s="21">
        <v>229500</v>
      </c>
      <c r="T181" s="5">
        <f t="shared" si="19"/>
        <v>15000</v>
      </c>
      <c r="U181">
        <f t="shared" si="20"/>
        <v>11</v>
      </c>
      <c r="V181">
        <f t="shared" si="21"/>
        <v>11</v>
      </c>
      <c r="W181" s="5">
        <f t="shared" si="22"/>
        <v>0</v>
      </c>
      <c r="X181" s="2" t="s">
        <v>6</v>
      </c>
      <c r="Y181" s="2" t="s">
        <v>2</v>
      </c>
      <c r="Z181">
        <v>786</v>
      </c>
      <c r="AA181" t="s">
        <v>1567</v>
      </c>
      <c r="AC181">
        <f t="shared" si="23"/>
        <v>2024</v>
      </c>
      <c r="AD181">
        <f t="shared" si="24"/>
        <v>2024</v>
      </c>
      <c r="AE181">
        <f t="shared" si="25"/>
        <v>2024</v>
      </c>
      <c r="AF181">
        <f t="shared" si="26"/>
        <v>11</v>
      </c>
    </row>
    <row r="182" spans="1:32" x14ac:dyDescent="0.25">
      <c r="A182" s="59">
        <v>45610</v>
      </c>
      <c r="B182" s="2">
        <v>1168</v>
      </c>
      <c r="C182" s="19" t="s">
        <v>692</v>
      </c>
      <c r="D182" s="19" t="s">
        <v>2</v>
      </c>
      <c r="E182" s="19" t="s">
        <v>2</v>
      </c>
      <c r="F182" s="19" t="s">
        <v>696</v>
      </c>
      <c r="G182" s="19" t="s">
        <v>607</v>
      </c>
      <c r="H182" s="19" t="s">
        <v>694</v>
      </c>
      <c r="I182" s="19" t="s">
        <v>697</v>
      </c>
      <c r="J182" s="2" t="s">
        <v>2</v>
      </c>
      <c r="K182" s="20">
        <v>45610</v>
      </c>
      <c r="L182" s="20"/>
      <c r="M182" s="22">
        <v>585</v>
      </c>
      <c r="N182" s="21">
        <v>596904</v>
      </c>
      <c r="O182" s="2" t="s">
        <v>3</v>
      </c>
      <c r="P182" s="2" t="s">
        <v>128</v>
      </c>
      <c r="Q182" s="2" t="s">
        <v>97</v>
      </c>
      <c r="R182" s="21">
        <f t="shared" si="18"/>
        <v>0</v>
      </c>
      <c r="S182" s="21">
        <v>0</v>
      </c>
      <c r="T182" s="5">
        <f t="shared" si="19"/>
        <v>15000</v>
      </c>
      <c r="U182">
        <f t="shared" si="20"/>
        <v>11</v>
      </c>
      <c r="V182">
        <f t="shared" si="21"/>
        <v>11</v>
      </c>
      <c r="W182" s="5">
        <f t="shared" si="22"/>
        <v>0</v>
      </c>
      <c r="X182" s="2" t="s">
        <v>6</v>
      </c>
      <c r="Y182" s="2" t="s">
        <v>2</v>
      </c>
      <c r="AC182">
        <f t="shared" si="23"/>
        <v>2024</v>
      </c>
      <c r="AD182">
        <f t="shared" si="24"/>
        <v>2024</v>
      </c>
      <c r="AE182" t="str">
        <f t="shared" si="25"/>
        <v/>
      </c>
      <c r="AF182" t="str">
        <f t="shared" si="26"/>
        <v/>
      </c>
    </row>
    <row r="183" spans="1:32" x14ac:dyDescent="0.25">
      <c r="A183" s="59">
        <v>45611</v>
      </c>
      <c r="B183" s="2">
        <v>1169</v>
      </c>
      <c r="C183" s="19" t="s">
        <v>698</v>
      </c>
      <c r="D183" s="19" t="s">
        <v>2</v>
      </c>
      <c r="E183" s="19" t="s">
        <v>2</v>
      </c>
      <c r="F183" s="19" t="s">
        <v>167</v>
      </c>
      <c r="G183" s="19" t="s">
        <v>125</v>
      </c>
      <c r="H183" s="19" t="s">
        <v>699</v>
      </c>
      <c r="I183" s="19" t="s">
        <v>700</v>
      </c>
      <c r="J183" s="2" t="s">
        <v>2</v>
      </c>
      <c r="K183" s="20">
        <v>45611</v>
      </c>
      <c r="L183" s="20">
        <v>45615</v>
      </c>
      <c r="M183" s="22">
        <v>0</v>
      </c>
      <c r="N183" s="21">
        <v>0</v>
      </c>
      <c r="O183" s="2" t="s">
        <v>76</v>
      </c>
      <c r="P183" s="2" t="s">
        <v>306</v>
      </c>
      <c r="Q183" s="2" t="s">
        <v>5</v>
      </c>
      <c r="R183" s="21">
        <f t="shared" si="18"/>
        <v>0</v>
      </c>
      <c r="S183" s="21">
        <v>0</v>
      </c>
      <c r="T183" s="5">
        <f t="shared" si="19"/>
        <v>15000</v>
      </c>
      <c r="U183">
        <f t="shared" si="20"/>
        <v>11</v>
      </c>
      <c r="V183">
        <f t="shared" si="21"/>
        <v>11</v>
      </c>
      <c r="W183" s="5">
        <f t="shared" si="22"/>
        <v>0</v>
      </c>
      <c r="X183" s="2" t="s">
        <v>6</v>
      </c>
      <c r="Y183" s="2" t="s">
        <v>2</v>
      </c>
      <c r="AC183">
        <f t="shared" si="23"/>
        <v>2024</v>
      </c>
      <c r="AD183">
        <f t="shared" si="24"/>
        <v>2024</v>
      </c>
      <c r="AE183">
        <f t="shared" si="25"/>
        <v>2024</v>
      </c>
      <c r="AF183">
        <f t="shared" si="26"/>
        <v>11</v>
      </c>
    </row>
    <row r="184" spans="1:32" x14ac:dyDescent="0.25">
      <c r="A184" s="59">
        <v>45612</v>
      </c>
      <c r="B184" s="2">
        <v>1170</v>
      </c>
      <c r="C184" s="19" t="s">
        <v>1</v>
      </c>
      <c r="D184" s="19" t="s">
        <v>2</v>
      </c>
      <c r="E184" s="19" t="s">
        <v>2</v>
      </c>
      <c r="F184" s="19" t="s">
        <v>602</v>
      </c>
      <c r="G184" s="19" t="s">
        <v>91</v>
      </c>
      <c r="H184" s="19" t="s">
        <v>701</v>
      </c>
      <c r="I184" s="19" t="s">
        <v>702</v>
      </c>
      <c r="J184" s="2" t="s">
        <v>2</v>
      </c>
      <c r="K184" s="20">
        <v>45612</v>
      </c>
      <c r="L184" s="20">
        <v>45615</v>
      </c>
      <c r="M184" s="22">
        <v>250</v>
      </c>
      <c r="N184" s="21">
        <v>255000</v>
      </c>
      <c r="O184" s="2" t="s">
        <v>76</v>
      </c>
      <c r="P184" s="2" t="s">
        <v>4</v>
      </c>
      <c r="Q184" s="2" t="s">
        <v>5</v>
      </c>
      <c r="R184" s="21">
        <f t="shared" si="18"/>
        <v>255000</v>
      </c>
      <c r="S184" s="21">
        <v>255000</v>
      </c>
      <c r="T184" s="5">
        <f t="shared" si="19"/>
        <v>15000</v>
      </c>
      <c r="U184">
        <f t="shared" si="20"/>
        <v>11</v>
      </c>
      <c r="V184">
        <f t="shared" si="21"/>
        <v>11</v>
      </c>
      <c r="W184" s="5">
        <f t="shared" si="22"/>
        <v>0</v>
      </c>
      <c r="X184" s="2" t="s">
        <v>6</v>
      </c>
      <c r="Y184" s="2" t="s">
        <v>2</v>
      </c>
      <c r="Z184">
        <v>782</v>
      </c>
      <c r="AA184" t="s">
        <v>1568</v>
      </c>
      <c r="AC184">
        <f t="shared" si="23"/>
        <v>2024</v>
      </c>
      <c r="AD184">
        <f t="shared" si="24"/>
        <v>2024</v>
      </c>
      <c r="AE184">
        <f t="shared" si="25"/>
        <v>2024</v>
      </c>
      <c r="AF184">
        <f t="shared" si="26"/>
        <v>11</v>
      </c>
    </row>
    <row r="185" spans="1:32" x14ac:dyDescent="0.25">
      <c r="A185" s="59">
        <v>45615</v>
      </c>
      <c r="B185" s="2">
        <v>1171</v>
      </c>
      <c r="C185" s="19" t="s">
        <v>536</v>
      </c>
      <c r="D185" s="19" t="s">
        <v>2</v>
      </c>
      <c r="E185" s="19" t="s">
        <v>2</v>
      </c>
      <c r="F185" s="19" t="s">
        <v>399</v>
      </c>
      <c r="G185" s="19" t="s">
        <v>94</v>
      </c>
      <c r="H185" s="19" t="s">
        <v>270</v>
      </c>
      <c r="I185" s="19" t="s">
        <v>703</v>
      </c>
      <c r="J185" s="2" t="s">
        <v>2</v>
      </c>
      <c r="K185" s="20">
        <v>45615</v>
      </c>
      <c r="L185" s="20">
        <v>45615</v>
      </c>
      <c r="M185" s="22">
        <v>183</v>
      </c>
      <c r="N185" s="21">
        <v>183500</v>
      </c>
      <c r="O185" s="2" t="s">
        <v>76</v>
      </c>
      <c r="P185" s="2" t="s">
        <v>4</v>
      </c>
      <c r="Q185" s="2" t="s">
        <v>5</v>
      </c>
      <c r="R185" s="21">
        <f t="shared" si="18"/>
        <v>183500</v>
      </c>
      <c r="S185" s="21">
        <v>183500</v>
      </c>
      <c r="T185" s="5">
        <f t="shared" si="19"/>
        <v>15000</v>
      </c>
      <c r="U185">
        <f t="shared" si="20"/>
        <v>11</v>
      </c>
      <c r="V185">
        <f t="shared" si="21"/>
        <v>11</v>
      </c>
      <c r="W185" s="5">
        <f t="shared" si="22"/>
        <v>0</v>
      </c>
      <c r="X185" s="2" t="s">
        <v>6</v>
      </c>
      <c r="Y185" s="2" t="s">
        <v>2</v>
      </c>
      <c r="Z185">
        <v>783</v>
      </c>
      <c r="AC185">
        <f t="shared" si="23"/>
        <v>2024</v>
      </c>
      <c r="AD185">
        <f t="shared" si="24"/>
        <v>2024</v>
      </c>
      <c r="AE185">
        <f t="shared" si="25"/>
        <v>2024</v>
      </c>
      <c r="AF185">
        <f t="shared" si="26"/>
        <v>11</v>
      </c>
    </row>
    <row r="186" spans="1:32" x14ac:dyDescent="0.25">
      <c r="A186" s="59">
        <v>45615</v>
      </c>
      <c r="B186" s="2">
        <v>1172</v>
      </c>
      <c r="C186" s="19" t="s">
        <v>372</v>
      </c>
      <c r="D186" s="19" t="s">
        <v>2</v>
      </c>
      <c r="E186" s="19" t="s">
        <v>2</v>
      </c>
      <c r="F186" s="19" t="s">
        <v>399</v>
      </c>
      <c r="G186" s="19" t="s">
        <v>351</v>
      </c>
      <c r="H186" s="19" t="s">
        <v>430</v>
      </c>
      <c r="I186" s="19" t="s">
        <v>704</v>
      </c>
      <c r="J186" s="2" t="s">
        <v>2</v>
      </c>
      <c r="K186" s="20">
        <v>45615</v>
      </c>
      <c r="L186" s="20">
        <v>45617</v>
      </c>
      <c r="M186" s="22">
        <v>137</v>
      </c>
      <c r="N186" s="21">
        <v>139500</v>
      </c>
      <c r="O186" s="2" t="s">
        <v>76</v>
      </c>
      <c r="P186" s="2" t="s">
        <v>4</v>
      </c>
      <c r="Q186" s="2" t="s">
        <v>5</v>
      </c>
      <c r="R186" s="21">
        <f t="shared" si="18"/>
        <v>139500</v>
      </c>
      <c r="S186" s="21">
        <v>139500</v>
      </c>
      <c r="T186" s="5">
        <f t="shared" si="19"/>
        <v>15000</v>
      </c>
      <c r="U186">
        <f t="shared" si="20"/>
        <v>11</v>
      </c>
      <c r="V186">
        <f t="shared" si="21"/>
        <v>11</v>
      </c>
      <c r="W186" s="5">
        <f t="shared" si="22"/>
        <v>0</v>
      </c>
      <c r="X186" s="2" t="s">
        <v>6</v>
      </c>
      <c r="Y186" s="2" t="s">
        <v>2</v>
      </c>
      <c r="Z186">
        <v>784</v>
      </c>
      <c r="AA186" t="s">
        <v>1569</v>
      </c>
      <c r="AC186">
        <f t="shared" si="23"/>
        <v>2024</v>
      </c>
      <c r="AD186">
        <f t="shared" si="24"/>
        <v>2024</v>
      </c>
      <c r="AE186">
        <f t="shared" si="25"/>
        <v>2024</v>
      </c>
      <c r="AF186">
        <f t="shared" si="26"/>
        <v>11</v>
      </c>
    </row>
    <row r="187" spans="1:32" x14ac:dyDescent="0.25">
      <c r="A187" s="59">
        <v>45615</v>
      </c>
      <c r="B187" s="2">
        <v>1173</v>
      </c>
      <c r="C187" s="19" t="s">
        <v>648</v>
      </c>
      <c r="D187" s="19" t="s">
        <v>2</v>
      </c>
      <c r="E187" s="19" t="s">
        <v>2</v>
      </c>
      <c r="F187" s="19" t="s">
        <v>399</v>
      </c>
      <c r="G187" s="19" t="s">
        <v>351</v>
      </c>
      <c r="H187" s="19" t="s">
        <v>430</v>
      </c>
      <c r="I187" s="19" t="s">
        <v>705</v>
      </c>
      <c r="J187" s="2" t="s">
        <v>2</v>
      </c>
      <c r="K187" s="20">
        <v>45615</v>
      </c>
      <c r="L187" s="20">
        <v>45622</v>
      </c>
      <c r="M187" s="22">
        <v>160</v>
      </c>
      <c r="N187" s="21">
        <v>163500</v>
      </c>
      <c r="O187" s="2" t="s">
        <v>76</v>
      </c>
      <c r="P187" s="2" t="s">
        <v>4</v>
      </c>
      <c r="Q187" s="2" t="s">
        <v>5</v>
      </c>
      <c r="R187" s="21">
        <f t="shared" si="18"/>
        <v>163500</v>
      </c>
      <c r="S187" s="21">
        <v>163500</v>
      </c>
      <c r="T187" s="5">
        <f t="shared" si="19"/>
        <v>15000</v>
      </c>
      <c r="U187">
        <f t="shared" si="20"/>
        <v>11</v>
      </c>
      <c r="V187">
        <f t="shared" si="21"/>
        <v>11</v>
      </c>
      <c r="W187" s="5">
        <f t="shared" si="22"/>
        <v>0</v>
      </c>
      <c r="X187" s="2" t="s">
        <v>6</v>
      </c>
      <c r="Y187" s="2" t="s">
        <v>2</v>
      </c>
      <c r="Z187">
        <v>785</v>
      </c>
      <c r="AA187" t="s">
        <v>1570</v>
      </c>
      <c r="AC187">
        <f t="shared" si="23"/>
        <v>2024</v>
      </c>
      <c r="AD187">
        <f t="shared" si="24"/>
        <v>2024</v>
      </c>
      <c r="AE187">
        <f t="shared" si="25"/>
        <v>2024</v>
      </c>
      <c r="AF187">
        <f t="shared" si="26"/>
        <v>11</v>
      </c>
    </row>
    <row r="188" spans="1:32" x14ac:dyDescent="0.25">
      <c r="A188" s="59">
        <v>45615</v>
      </c>
      <c r="B188" s="2">
        <v>1174</v>
      </c>
      <c r="C188" s="19" t="s">
        <v>161</v>
      </c>
      <c r="D188" s="19" t="s">
        <v>2</v>
      </c>
      <c r="E188" s="19" t="s">
        <v>2</v>
      </c>
      <c r="F188" s="19" t="s">
        <v>198</v>
      </c>
      <c r="G188" s="19" t="s">
        <v>706</v>
      </c>
      <c r="H188" s="19" t="s">
        <v>707</v>
      </c>
      <c r="I188" s="19" t="s">
        <v>708</v>
      </c>
      <c r="J188" s="2" t="s">
        <v>2</v>
      </c>
      <c r="K188" s="20">
        <v>45630</v>
      </c>
      <c r="L188" s="20">
        <v>45630</v>
      </c>
      <c r="M188" s="22">
        <v>160</v>
      </c>
      <c r="N188" s="21">
        <v>163500</v>
      </c>
      <c r="O188" s="2" t="s">
        <v>76</v>
      </c>
      <c r="P188" s="2" t="s">
        <v>145</v>
      </c>
      <c r="Q188" s="2" t="s">
        <v>146</v>
      </c>
      <c r="R188" s="21">
        <f t="shared" si="18"/>
        <v>0</v>
      </c>
      <c r="S188" s="21">
        <v>0</v>
      </c>
      <c r="T188" s="5">
        <f t="shared" si="19"/>
        <v>15000</v>
      </c>
      <c r="U188">
        <f t="shared" si="20"/>
        <v>12</v>
      </c>
      <c r="V188">
        <f t="shared" si="21"/>
        <v>11</v>
      </c>
      <c r="W188" s="5">
        <f t="shared" si="22"/>
        <v>0</v>
      </c>
      <c r="X188" s="2" t="s">
        <v>6</v>
      </c>
      <c r="Y188" s="2" t="s">
        <v>2</v>
      </c>
      <c r="AC188">
        <f t="shared" si="23"/>
        <v>2024</v>
      </c>
      <c r="AD188">
        <f t="shared" si="24"/>
        <v>2024</v>
      </c>
      <c r="AE188">
        <f t="shared" si="25"/>
        <v>2024</v>
      </c>
      <c r="AF188">
        <f t="shared" si="26"/>
        <v>12</v>
      </c>
    </row>
    <row r="189" spans="1:32" x14ac:dyDescent="0.25">
      <c r="A189" s="59">
        <v>45617</v>
      </c>
      <c r="B189" s="2">
        <v>1175</v>
      </c>
      <c r="C189" s="19" t="s">
        <v>709</v>
      </c>
      <c r="D189" s="19" t="s">
        <v>2</v>
      </c>
      <c r="E189" s="19" t="s">
        <v>2</v>
      </c>
      <c r="F189" s="19" t="s">
        <v>710</v>
      </c>
      <c r="G189" s="19" t="s">
        <v>711</v>
      </c>
      <c r="H189" s="19" t="s">
        <v>712</v>
      </c>
      <c r="I189" s="19" t="s">
        <v>713</v>
      </c>
      <c r="J189" s="2" t="s">
        <v>2</v>
      </c>
      <c r="K189" s="20">
        <v>45617</v>
      </c>
      <c r="L189" s="20">
        <v>45617</v>
      </c>
      <c r="M189" s="22">
        <v>79</v>
      </c>
      <c r="N189" s="21">
        <v>79600</v>
      </c>
      <c r="O189" s="2" t="s">
        <v>76</v>
      </c>
      <c r="P189" s="2" t="s">
        <v>4</v>
      </c>
      <c r="Q189" s="2" t="s">
        <v>5</v>
      </c>
      <c r="R189" s="21">
        <f t="shared" si="18"/>
        <v>79600</v>
      </c>
      <c r="S189" s="21">
        <v>79600</v>
      </c>
      <c r="T189" s="5">
        <f t="shared" si="19"/>
        <v>15000</v>
      </c>
      <c r="U189">
        <f t="shared" si="20"/>
        <v>11</v>
      </c>
      <c r="V189">
        <f t="shared" si="21"/>
        <v>11</v>
      </c>
      <c r="W189" s="5">
        <f t="shared" si="22"/>
        <v>0</v>
      </c>
      <c r="X189" s="2" t="s">
        <v>6</v>
      </c>
      <c r="Y189" s="2" t="s">
        <v>2</v>
      </c>
      <c r="Z189">
        <v>787</v>
      </c>
      <c r="AA189" t="s">
        <v>1571</v>
      </c>
      <c r="AC189">
        <f t="shared" si="23"/>
        <v>2024</v>
      </c>
      <c r="AD189">
        <f t="shared" si="24"/>
        <v>2024</v>
      </c>
      <c r="AE189">
        <f t="shared" si="25"/>
        <v>2024</v>
      </c>
      <c r="AF189">
        <f t="shared" si="26"/>
        <v>11</v>
      </c>
    </row>
    <row r="190" spans="1:32" x14ac:dyDescent="0.25">
      <c r="A190" s="59">
        <v>45618</v>
      </c>
      <c r="B190" s="2">
        <v>1176</v>
      </c>
      <c r="C190" s="19" t="s">
        <v>129</v>
      </c>
      <c r="D190" s="19" t="s">
        <v>2</v>
      </c>
      <c r="E190" s="19" t="s">
        <v>2</v>
      </c>
      <c r="F190" s="19" t="s">
        <v>714</v>
      </c>
      <c r="G190" s="19" t="s">
        <v>715</v>
      </c>
      <c r="H190" s="19" t="s">
        <v>716</v>
      </c>
      <c r="I190" s="19" t="s">
        <v>717</v>
      </c>
      <c r="J190" s="2" t="s">
        <v>2</v>
      </c>
      <c r="K190" s="20">
        <v>45622</v>
      </c>
      <c r="L190" s="20">
        <v>45622</v>
      </c>
      <c r="M190" s="22">
        <v>0</v>
      </c>
      <c r="N190" s="21">
        <v>205200</v>
      </c>
      <c r="O190" s="2" t="s">
        <v>76</v>
      </c>
      <c r="P190" s="2" t="s">
        <v>145</v>
      </c>
      <c r="Q190" s="2" t="s">
        <v>146</v>
      </c>
      <c r="R190" s="21">
        <f t="shared" si="18"/>
        <v>0</v>
      </c>
      <c r="S190" s="21">
        <v>0</v>
      </c>
      <c r="T190" s="5">
        <f t="shared" si="19"/>
        <v>15000</v>
      </c>
      <c r="U190">
        <f t="shared" si="20"/>
        <v>11</v>
      </c>
      <c r="V190">
        <f t="shared" si="21"/>
        <v>11</v>
      </c>
      <c r="W190" s="5">
        <f t="shared" si="22"/>
        <v>0</v>
      </c>
      <c r="X190" s="2" t="s">
        <v>6</v>
      </c>
      <c r="Y190" s="2" t="s">
        <v>2</v>
      </c>
      <c r="AC190">
        <f t="shared" si="23"/>
        <v>2024</v>
      </c>
      <c r="AD190">
        <f t="shared" si="24"/>
        <v>2024</v>
      </c>
      <c r="AE190">
        <f t="shared" si="25"/>
        <v>2024</v>
      </c>
      <c r="AF190">
        <f t="shared" si="26"/>
        <v>11</v>
      </c>
    </row>
    <row r="191" spans="1:32" x14ac:dyDescent="0.25">
      <c r="A191" s="59">
        <v>45618</v>
      </c>
      <c r="B191" s="2">
        <v>1177</v>
      </c>
      <c r="C191" s="19" t="s">
        <v>129</v>
      </c>
      <c r="D191" s="19" t="s">
        <v>2</v>
      </c>
      <c r="E191" s="19" t="s">
        <v>2</v>
      </c>
      <c r="F191" s="19" t="s">
        <v>718</v>
      </c>
      <c r="G191" s="19" t="s">
        <v>719</v>
      </c>
      <c r="H191" s="19" t="s">
        <v>720</v>
      </c>
      <c r="I191" s="19" t="s">
        <v>721</v>
      </c>
      <c r="J191" s="2" t="s">
        <v>2</v>
      </c>
      <c r="K191" s="20">
        <v>45622</v>
      </c>
      <c r="L191" s="20">
        <v>45622</v>
      </c>
      <c r="M191" s="22">
        <v>0</v>
      </c>
      <c r="N191" s="21">
        <v>92340</v>
      </c>
      <c r="O191" s="2" t="s">
        <v>76</v>
      </c>
      <c r="P191" s="2" t="s">
        <v>145</v>
      </c>
      <c r="Q191" s="2" t="s">
        <v>146</v>
      </c>
      <c r="R191" s="21">
        <f t="shared" si="18"/>
        <v>0</v>
      </c>
      <c r="S191" s="21">
        <v>0</v>
      </c>
      <c r="T191" s="5">
        <f t="shared" si="19"/>
        <v>15000</v>
      </c>
      <c r="U191">
        <f t="shared" si="20"/>
        <v>11</v>
      </c>
      <c r="V191">
        <f t="shared" si="21"/>
        <v>11</v>
      </c>
      <c r="W191" s="5">
        <f t="shared" si="22"/>
        <v>0</v>
      </c>
      <c r="X191" s="2" t="s">
        <v>6</v>
      </c>
      <c r="Y191" s="2" t="s">
        <v>2</v>
      </c>
      <c r="AC191">
        <f t="shared" si="23"/>
        <v>2024</v>
      </c>
      <c r="AD191">
        <f t="shared" si="24"/>
        <v>2024</v>
      </c>
      <c r="AE191">
        <f t="shared" si="25"/>
        <v>2024</v>
      </c>
      <c r="AF191">
        <f t="shared" si="26"/>
        <v>11</v>
      </c>
    </row>
    <row r="192" spans="1:32" x14ac:dyDescent="0.25">
      <c r="A192" s="59">
        <v>45622</v>
      </c>
      <c r="B192" s="2">
        <v>1178</v>
      </c>
      <c r="C192" s="19" t="s">
        <v>218</v>
      </c>
      <c r="D192" s="19" t="s">
        <v>2</v>
      </c>
      <c r="E192" s="19" t="s">
        <v>2</v>
      </c>
      <c r="F192" s="19" t="s">
        <v>722</v>
      </c>
      <c r="G192" s="19" t="s">
        <v>723</v>
      </c>
      <c r="H192" s="19" t="s">
        <v>724</v>
      </c>
      <c r="I192" s="19" t="s">
        <v>725</v>
      </c>
      <c r="J192" s="2" t="s">
        <v>2</v>
      </c>
      <c r="K192" s="20">
        <v>45622</v>
      </c>
      <c r="L192" s="20">
        <v>45622</v>
      </c>
      <c r="M192" s="22">
        <v>95</v>
      </c>
      <c r="N192" s="21">
        <v>96600</v>
      </c>
      <c r="O192" s="2" t="s">
        <v>76</v>
      </c>
      <c r="P192" s="2" t="s">
        <v>4</v>
      </c>
      <c r="Q192" s="2" t="s">
        <v>5</v>
      </c>
      <c r="R192" s="21">
        <f t="shared" si="18"/>
        <v>96600</v>
      </c>
      <c r="S192" s="21">
        <v>96600</v>
      </c>
      <c r="T192" s="5">
        <f t="shared" si="19"/>
        <v>15000</v>
      </c>
      <c r="U192">
        <f t="shared" si="20"/>
        <v>11</v>
      </c>
      <c r="V192">
        <f t="shared" si="21"/>
        <v>11</v>
      </c>
      <c r="W192" s="5">
        <f t="shared" si="22"/>
        <v>0</v>
      </c>
      <c r="X192" s="2" t="s">
        <v>6</v>
      </c>
      <c r="Y192" s="2" t="s">
        <v>2</v>
      </c>
      <c r="Z192">
        <v>790</v>
      </c>
      <c r="AA192" t="s">
        <v>1572</v>
      </c>
      <c r="AC192">
        <f t="shared" si="23"/>
        <v>2024</v>
      </c>
      <c r="AD192">
        <f t="shared" si="24"/>
        <v>2024</v>
      </c>
      <c r="AE192">
        <f t="shared" si="25"/>
        <v>2024</v>
      </c>
      <c r="AF192">
        <f t="shared" si="26"/>
        <v>11</v>
      </c>
    </row>
    <row r="193" spans="1:32" x14ac:dyDescent="0.25">
      <c r="A193" s="59">
        <v>45622</v>
      </c>
      <c r="B193" s="2">
        <v>1179</v>
      </c>
      <c r="C193" s="19" t="s">
        <v>401</v>
      </c>
      <c r="D193" s="19" t="s">
        <v>2</v>
      </c>
      <c r="E193" s="19" t="s">
        <v>2</v>
      </c>
      <c r="F193" s="19" t="s">
        <v>399</v>
      </c>
      <c r="G193" s="19" t="s">
        <v>726</v>
      </c>
      <c r="H193" s="19" t="s">
        <v>727</v>
      </c>
      <c r="I193" s="19" t="s">
        <v>728</v>
      </c>
      <c r="J193" s="2" t="s">
        <v>2</v>
      </c>
      <c r="K193" s="20">
        <v>45622</v>
      </c>
      <c r="L193" s="20">
        <v>45623</v>
      </c>
      <c r="M193" s="22">
        <v>150</v>
      </c>
      <c r="N193" s="21">
        <v>152300</v>
      </c>
      <c r="O193" s="2" t="s">
        <v>76</v>
      </c>
      <c r="P193" s="2" t="s">
        <v>4</v>
      </c>
      <c r="Q193" s="2" t="s">
        <v>5</v>
      </c>
      <c r="R193" s="21">
        <f t="shared" si="18"/>
        <v>152300</v>
      </c>
      <c r="S193" s="21">
        <v>152300</v>
      </c>
      <c r="T193" s="5">
        <f t="shared" si="19"/>
        <v>15000</v>
      </c>
      <c r="U193">
        <f t="shared" si="20"/>
        <v>11</v>
      </c>
      <c r="V193">
        <f t="shared" si="21"/>
        <v>11</v>
      </c>
      <c r="W193" s="5">
        <f t="shared" si="22"/>
        <v>0</v>
      </c>
      <c r="X193" s="2" t="s">
        <v>6</v>
      </c>
      <c r="Y193" s="2" t="s">
        <v>2</v>
      </c>
      <c r="Z193">
        <v>793</v>
      </c>
      <c r="AC193">
        <f t="shared" si="23"/>
        <v>2024</v>
      </c>
      <c r="AD193">
        <f t="shared" si="24"/>
        <v>2024</v>
      </c>
      <c r="AE193">
        <f t="shared" si="25"/>
        <v>2024</v>
      </c>
      <c r="AF193">
        <f t="shared" si="26"/>
        <v>11</v>
      </c>
    </row>
    <row r="194" spans="1:32" x14ac:dyDescent="0.25">
      <c r="A194" s="59">
        <v>45622</v>
      </c>
      <c r="B194" s="2">
        <v>1180</v>
      </c>
      <c r="C194" s="19" t="s">
        <v>729</v>
      </c>
      <c r="D194" s="19" t="s">
        <v>2</v>
      </c>
      <c r="E194" s="19" t="s">
        <v>2</v>
      </c>
      <c r="F194" s="19" t="s">
        <v>730</v>
      </c>
      <c r="G194" s="19" t="s">
        <v>260</v>
      </c>
      <c r="H194" s="19" t="s">
        <v>731</v>
      </c>
      <c r="I194" s="19" t="s">
        <v>732</v>
      </c>
      <c r="J194" s="2" t="s">
        <v>2</v>
      </c>
      <c r="K194" s="20">
        <v>45623</v>
      </c>
      <c r="L194" s="20">
        <v>45623</v>
      </c>
      <c r="M194" s="22">
        <v>230</v>
      </c>
      <c r="N194" s="21">
        <v>237500</v>
      </c>
      <c r="O194" s="2" t="s">
        <v>76</v>
      </c>
      <c r="P194" s="2" t="s">
        <v>4</v>
      </c>
      <c r="Q194" s="2" t="s">
        <v>5</v>
      </c>
      <c r="R194" s="21">
        <f t="shared" ref="R194:R257" si="27">IF(Q194="Aceptado",N194,0)</f>
        <v>237500</v>
      </c>
      <c r="S194" s="21">
        <v>237500</v>
      </c>
      <c r="T194" s="5">
        <f t="shared" ref="T194:T257" si="28">IFERROR(+T193+R194-S194,0)</f>
        <v>15000</v>
      </c>
      <c r="U194">
        <f t="shared" ref="U194:U257" si="29">IF(NOT(ISBLANK(K194)),MONTH(K194),"")</f>
        <v>11</v>
      </c>
      <c r="V194">
        <f t="shared" ref="V194:V257" si="30">IF(NOT(ISBLANK(A194)),MONTH(A194),"")</f>
        <v>11</v>
      </c>
      <c r="W194" s="5">
        <f t="shared" ref="W194:W257" si="31">IFERROR(+S194-R194,0)</f>
        <v>0</v>
      </c>
      <c r="X194" s="2" t="s">
        <v>6</v>
      </c>
      <c r="Y194" s="2" t="s">
        <v>2</v>
      </c>
      <c r="Z194">
        <v>792</v>
      </c>
      <c r="AA194" t="s">
        <v>1573</v>
      </c>
      <c r="AC194">
        <f t="shared" ref="AC194:AC257" si="32">IF(NOT(ISBLANK(K194)),YEAR(K194),"")</f>
        <v>2024</v>
      </c>
      <c r="AD194">
        <f t="shared" ref="AD194:AD257" si="33">IF(NOT(ISBLANK(A194)),YEAR(A194),"")</f>
        <v>2024</v>
      </c>
      <c r="AE194">
        <f t="shared" ref="AE194:AE257" si="34">IF(NOT(ISBLANK(L194)),YEAR(L194),"")</f>
        <v>2024</v>
      </c>
      <c r="AF194">
        <f t="shared" ref="AF194:AF257" si="35">IF(NOT(ISBLANK(L194)),MONTH(L194),"")</f>
        <v>11</v>
      </c>
    </row>
    <row r="195" spans="1:32" x14ac:dyDescent="0.25">
      <c r="A195" s="59">
        <v>45622</v>
      </c>
      <c r="B195" s="2">
        <v>1181</v>
      </c>
      <c r="C195" s="19" t="s">
        <v>1732</v>
      </c>
      <c r="D195" s="19" t="s">
        <v>2</v>
      </c>
      <c r="E195" s="19" t="s">
        <v>2</v>
      </c>
      <c r="F195" s="19" t="s">
        <v>264</v>
      </c>
      <c r="G195" s="19" t="s">
        <v>107</v>
      </c>
      <c r="H195" s="19" t="s">
        <v>265</v>
      </c>
      <c r="I195" s="19" t="s">
        <v>733</v>
      </c>
      <c r="J195" s="2" t="s">
        <v>2</v>
      </c>
      <c r="K195" s="20">
        <v>45628</v>
      </c>
      <c r="L195" s="20">
        <v>45628</v>
      </c>
      <c r="M195" s="22">
        <v>400</v>
      </c>
      <c r="N195" s="21">
        <v>410800</v>
      </c>
      <c r="O195" s="2" t="s">
        <v>76</v>
      </c>
      <c r="P195" s="2" t="s">
        <v>4</v>
      </c>
      <c r="Q195" s="2" t="s">
        <v>5</v>
      </c>
      <c r="R195" s="21">
        <f t="shared" si="27"/>
        <v>410800</v>
      </c>
      <c r="S195" s="21">
        <v>410800</v>
      </c>
      <c r="T195" s="5">
        <f t="shared" si="28"/>
        <v>15000</v>
      </c>
      <c r="U195">
        <f t="shared" si="29"/>
        <v>12</v>
      </c>
      <c r="V195">
        <f t="shared" si="30"/>
        <v>11</v>
      </c>
      <c r="W195" s="5">
        <f t="shared" si="31"/>
        <v>0</v>
      </c>
      <c r="X195" s="2" t="s">
        <v>6</v>
      </c>
      <c r="Y195" s="2" t="s">
        <v>2</v>
      </c>
      <c r="Z195">
        <v>794</v>
      </c>
      <c r="AA195" t="s">
        <v>1574</v>
      </c>
      <c r="AC195">
        <f t="shared" si="32"/>
        <v>2024</v>
      </c>
      <c r="AD195">
        <f t="shared" si="33"/>
        <v>2024</v>
      </c>
      <c r="AE195">
        <f t="shared" si="34"/>
        <v>2024</v>
      </c>
      <c r="AF195">
        <f t="shared" si="35"/>
        <v>12</v>
      </c>
    </row>
    <row r="196" spans="1:32" x14ac:dyDescent="0.25">
      <c r="A196" s="59">
        <v>45625</v>
      </c>
      <c r="B196" s="2">
        <v>1182</v>
      </c>
      <c r="C196" s="19" t="s">
        <v>218</v>
      </c>
      <c r="D196" s="19" t="s">
        <v>2</v>
      </c>
      <c r="E196" s="19" t="s">
        <v>2</v>
      </c>
      <c r="F196" s="19" t="s">
        <v>734</v>
      </c>
      <c r="G196" s="19" t="s">
        <v>723</v>
      </c>
      <c r="H196" s="19" t="s">
        <v>724</v>
      </c>
      <c r="I196" s="19" t="s">
        <v>725</v>
      </c>
      <c r="J196" s="2" t="s">
        <v>2</v>
      </c>
      <c r="K196" s="20">
        <v>45625</v>
      </c>
      <c r="L196" s="20">
        <v>45629</v>
      </c>
      <c r="M196" s="22">
        <v>195</v>
      </c>
      <c r="N196" s="21">
        <v>197600</v>
      </c>
      <c r="O196" s="2" t="s">
        <v>76</v>
      </c>
      <c r="P196" s="2" t="s">
        <v>4</v>
      </c>
      <c r="Q196" s="2" t="s">
        <v>5</v>
      </c>
      <c r="R196" s="21">
        <f t="shared" si="27"/>
        <v>197600</v>
      </c>
      <c r="S196" s="21">
        <v>197600</v>
      </c>
      <c r="T196" s="5">
        <f t="shared" si="28"/>
        <v>15000</v>
      </c>
      <c r="U196">
        <f t="shared" si="29"/>
        <v>11</v>
      </c>
      <c r="V196">
        <f t="shared" si="30"/>
        <v>11</v>
      </c>
      <c r="W196" s="5">
        <f t="shared" si="31"/>
        <v>0</v>
      </c>
      <c r="X196" s="2" t="s">
        <v>6</v>
      </c>
      <c r="Y196" s="2" t="s">
        <v>2</v>
      </c>
      <c r="AA196" t="s">
        <v>1575</v>
      </c>
      <c r="AC196">
        <f t="shared" si="32"/>
        <v>2024</v>
      </c>
      <c r="AD196">
        <f t="shared" si="33"/>
        <v>2024</v>
      </c>
      <c r="AE196">
        <f t="shared" si="34"/>
        <v>2024</v>
      </c>
      <c r="AF196">
        <f t="shared" si="35"/>
        <v>12</v>
      </c>
    </row>
    <row r="197" spans="1:32" x14ac:dyDescent="0.25">
      <c r="A197" s="59">
        <v>45628</v>
      </c>
      <c r="B197" s="2">
        <v>1183</v>
      </c>
      <c r="C197" s="19" t="s">
        <v>735</v>
      </c>
      <c r="D197" s="19" t="s">
        <v>2</v>
      </c>
      <c r="E197" s="19" t="s">
        <v>2</v>
      </c>
      <c r="F197" s="19" t="s">
        <v>434</v>
      </c>
      <c r="G197" s="19" t="s">
        <v>736</v>
      </c>
      <c r="H197" s="19" t="s">
        <v>737</v>
      </c>
      <c r="I197" s="19" t="s">
        <v>738</v>
      </c>
      <c r="J197" s="2" t="s">
        <v>2</v>
      </c>
      <c r="K197" s="20">
        <v>45635</v>
      </c>
      <c r="L197" s="20">
        <v>45628</v>
      </c>
      <c r="M197" s="22">
        <v>105</v>
      </c>
      <c r="N197" s="21">
        <v>105600</v>
      </c>
      <c r="O197" s="2" t="s">
        <v>76</v>
      </c>
      <c r="P197" s="2" t="s">
        <v>4</v>
      </c>
      <c r="Q197" s="2" t="s">
        <v>5</v>
      </c>
      <c r="R197" s="21">
        <f t="shared" si="27"/>
        <v>105600</v>
      </c>
      <c r="S197" s="21">
        <v>105600</v>
      </c>
      <c r="T197" s="5">
        <f t="shared" si="28"/>
        <v>15000</v>
      </c>
      <c r="U197">
        <f t="shared" si="29"/>
        <v>12</v>
      </c>
      <c r="V197">
        <f t="shared" si="30"/>
        <v>12</v>
      </c>
      <c r="W197" s="5">
        <f t="shared" si="31"/>
        <v>0</v>
      </c>
      <c r="X197" s="2" t="s">
        <v>6</v>
      </c>
      <c r="Y197" s="2" t="s">
        <v>2</v>
      </c>
      <c r="AC197">
        <f t="shared" si="32"/>
        <v>2024</v>
      </c>
      <c r="AD197">
        <f t="shared" si="33"/>
        <v>2024</v>
      </c>
      <c r="AE197">
        <f t="shared" si="34"/>
        <v>2024</v>
      </c>
      <c r="AF197">
        <f t="shared" si="35"/>
        <v>12</v>
      </c>
    </row>
    <row r="198" spans="1:32" x14ac:dyDescent="0.25">
      <c r="A198" s="59">
        <v>45630</v>
      </c>
      <c r="B198" s="2">
        <v>1184</v>
      </c>
      <c r="C198" s="19" t="s">
        <v>1</v>
      </c>
      <c r="D198" s="19" t="s">
        <v>2</v>
      </c>
      <c r="E198" s="19" t="s">
        <v>2</v>
      </c>
      <c r="F198" s="19" t="s">
        <v>672</v>
      </c>
      <c r="G198" s="19" t="s">
        <v>125</v>
      </c>
      <c r="H198" s="19" t="s">
        <v>699</v>
      </c>
      <c r="I198" s="19" t="s">
        <v>739</v>
      </c>
      <c r="J198" s="2" t="s">
        <v>2</v>
      </c>
      <c r="K198" s="20">
        <v>45630</v>
      </c>
      <c r="L198" s="20"/>
      <c r="M198" s="22">
        <v>0</v>
      </c>
      <c r="N198" s="21">
        <v>0</v>
      </c>
      <c r="O198" s="2" t="s">
        <v>3</v>
      </c>
      <c r="P198" s="2" t="s">
        <v>306</v>
      </c>
      <c r="Q198" s="2" t="s">
        <v>97</v>
      </c>
      <c r="R198" s="21">
        <f t="shared" si="27"/>
        <v>0</v>
      </c>
      <c r="S198" s="21">
        <v>0</v>
      </c>
      <c r="T198" s="5">
        <f t="shared" si="28"/>
        <v>15000</v>
      </c>
      <c r="U198">
        <f t="shared" si="29"/>
        <v>12</v>
      </c>
      <c r="V198">
        <f t="shared" si="30"/>
        <v>12</v>
      </c>
      <c r="W198" s="5">
        <f t="shared" si="31"/>
        <v>0</v>
      </c>
      <c r="X198" s="2" t="s">
        <v>6</v>
      </c>
      <c r="Y198" s="2" t="s">
        <v>2</v>
      </c>
      <c r="AC198">
        <f t="shared" si="32"/>
        <v>2024</v>
      </c>
      <c r="AD198">
        <f t="shared" si="33"/>
        <v>2024</v>
      </c>
      <c r="AE198" t="str">
        <f t="shared" si="34"/>
        <v/>
      </c>
      <c r="AF198" t="str">
        <f t="shared" si="35"/>
        <v/>
      </c>
    </row>
    <row r="199" spans="1:32" x14ac:dyDescent="0.25">
      <c r="A199" s="59">
        <v>45631</v>
      </c>
      <c r="B199" s="2">
        <v>1185</v>
      </c>
      <c r="C199" s="19" t="s">
        <v>740</v>
      </c>
      <c r="D199" s="19" t="s">
        <v>2</v>
      </c>
      <c r="E199" s="19" t="s">
        <v>2</v>
      </c>
      <c r="F199" s="19" t="s">
        <v>741</v>
      </c>
      <c r="G199" s="19" t="s">
        <v>435</v>
      </c>
      <c r="H199" s="19" t="s">
        <v>742</v>
      </c>
      <c r="I199" s="19" t="s">
        <v>743</v>
      </c>
      <c r="J199" s="2" t="s">
        <v>2</v>
      </c>
      <c r="K199" s="20">
        <v>45631</v>
      </c>
      <c r="L199" s="20"/>
      <c r="M199" s="22">
        <v>167</v>
      </c>
      <c r="N199" s="21">
        <v>167500</v>
      </c>
      <c r="O199" s="2" t="s">
        <v>3</v>
      </c>
      <c r="P199" s="2" t="s">
        <v>128</v>
      </c>
      <c r="Q199" s="2" t="s">
        <v>97</v>
      </c>
      <c r="R199" s="21">
        <f t="shared" si="27"/>
        <v>0</v>
      </c>
      <c r="S199" s="21">
        <v>0</v>
      </c>
      <c r="T199" s="5">
        <f t="shared" si="28"/>
        <v>15000</v>
      </c>
      <c r="U199">
        <f t="shared" si="29"/>
        <v>12</v>
      </c>
      <c r="V199">
        <f t="shared" si="30"/>
        <v>12</v>
      </c>
      <c r="W199" s="5">
        <f t="shared" si="31"/>
        <v>0</v>
      </c>
      <c r="X199" s="2" t="s">
        <v>6</v>
      </c>
      <c r="Y199" s="2" t="s">
        <v>2</v>
      </c>
      <c r="AC199">
        <f t="shared" si="32"/>
        <v>2024</v>
      </c>
      <c r="AD199">
        <f t="shared" si="33"/>
        <v>2024</v>
      </c>
      <c r="AE199" t="str">
        <f t="shared" si="34"/>
        <v/>
      </c>
      <c r="AF199" t="str">
        <f t="shared" si="35"/>
        <v/>
      </c>
    </row>
    <row r="200" spans="1:32" x14ac:dyDescent="0.25">
      <c r="A200" s="59">
        <v>45635.125</v>
      </c>
      <c r="B200" s="2">
        <v>1186</v>
      </c>
      <c r="C200" s="19" t="s">
        <v>297</v>
      </c>
      <c r="D200" s="19" t="s">
        <v>2</v>
      </c>
      <c r="E200" s="19" t="s">
        <v>2</v>
      </c>
      <c r="F200" s="19" t="s">
        <v>744</v>
      </c>
      <c r="G200" s="19" t="s">
        <v>745</v>
      </c>
      <c r="H200" s="19" t="s">
        <v>746</v>
      </c>
      <c r="I200" s="19" t="s">
        <v>747</v>
      </c>
      <c r="J200" s="2" t="s">
        <v>2</v>
      </c>
      <c r="K200" s="20">
        <v>45635.125</v>
      </c>
      <c r="L200" s="20">
        <v>45635.125</v>
      </c>
      <c r="M200" s="22">
        <v>175</v>
      </c>
      <c r="N200" s="21">
        <v>176000</v>
      </c>
      <c r="O200" s="2" t="s">
        <v>76</v>
      </c>
      <c r="P200" s="2" t="s">
        <v>4</v>
      </c>
      <c r="Q200" s="2" t="s">
        <v>5</v>
      </c>
      <c r="R200" s="21">
        <f t="shared" si="27"/>
        <v>176000</v>
      </c>
      <c r="S200" s="21">
        <v>176000</v>
      </c>
      <c r="T200" s="5">
        <f t="shared" si="28"/>
        <v>15000</v>
      </c>
      <c r="U200">
        <f t="shared" si="29"/>
        <v>12</v>
      </c>
      <c r="V200">
        <f t="shared" si="30"/>
        <v>12</v>
      </c>
      <c r="W200" s="5">
        <f t="shared" si="31"/>
        <v>0</v>
      </c>
      <c r="X200" s="2" t="s">
        <v>6</v>
      </c>
      <c r="Y200" s="2" t="s">
        <v>2</v>
      </c>
      <c r="Z200">
        <v>795</v>
      </c>
      <c r="AC200">
        <f t="shared" si="32"/>
        <v>2024</v>
      </c>
      <c r="AD200">
        <f t="shared" si="33"/>
        <v>2024</v>
      </c>
      <c r="AE200">
        <f t="shared" si="34"/>
        <v>2024</v>
      </c>
      <c r="AF200">
        <f t="shared" si="35"/>
        <v>12</v>
      </c>
    </row>
    <row r="201" spans="1:32" x14ac:dyDescent="0.25">
      <c r="A201" s="59">
        <v>45636.125</v>
      </c>
      <c r="B201" s="2">
        <v>1187</v>
      </c>
      <c r="C201" s="19" t="s">
        <v>748</v>
      </c>
      <c r="D201" s="19" t="s">
        <v>2</v>
      </c>
      <c r="E201" s="19" t="s">
        <v>2</v>
      </c>
      <c r="F201" s="19" t="s">
        <v>749</v>
      </c>
      <c r="G201" s="19" t="s">
        <v>750</v>
      </c>
      <c r="H201" s="19" t="s">
        <v>751</v>
      </c>
      <c r="I201" s="19" t="s">
        <v>752</v>
      </c>
      <c r="J201" s="2" t="s">
        <v>2</v>
      </c>
      <c r="K201" s="20">
        <v>45639.125</v>
      </c>
      <c r="L201" s="20">
        <v>45639.125</v>
      </c>
      <c r="M201" s="22">
        <v>153</v>
      </c>
      <c r="N201" s="21">
        <v>153500</v>
      </c>
      <c r="O201" s="2" t="s">
        <v>76</v>
      </c>
      <c r="P201" s="2" t="s">
        <v>145</v>
      </c>
      <c r="Q201" s="2" t="s">
        <v>146</v>
      </c>
      <c r="R201" s="21">
        <f t="shared" si="27"/>
        <v>0</v>
      </c>
      <c r="S201" s="21">
        <v>0</v>
      </c>
      <c r="T201" s="5">
        <f t="shared" si="28"/>
        <v>15000</v>
      </c>
      <c r="U201">
        <f t="shared" si="29"/>
        <v>12</v>
      </c>
      <c r="V201">
        <f t="shared" si="30"/>
        <v>12</v>
      </c>
      <c r="W201" s="5">
        <f t="shared" si="31"/>
        <v>0</v>
      </c>
      <c r="X201" s="2" t="s">
        <v>6</v>
      </c>
      <c r="Y201" s="2" t="s">
        <v>2</v>
      </c>
      <c r="AC201">
        <f t="shared" si="32"/>
        <v>2024</v>
      </c>
      <c r="AD201">
        <f t="shared" si="33"/>
        <v>2024</v>
      </c>
      <c r="AE201">
        <f t="shared" si="34"/>
        <v>2024</v>
      </c>
      <c r="AF201">
        <f t="shared" si="35"/>
        <v>12</v>
      </c>
    </row>
    <row r="202" spans="1:32" x14ac:dyDescent="0.25">
      <c r="A202" s="59">
        <v>45637</v>
      </c>
      <c r="B202" s="2">
        <v>1188</v>
      </c>
      <c r="C202" s="19" t="s">
        <v>753</v>
      </c>
      <c r="D202" s="19" t="s">
        <v>2</v>
      </c>
      <c r="E202" s="19" t="s">
        <v>2</v>
      </c>
      <c r="F202" s="19" t="s">
        <v>186</v>
      </c>
      <c r="G202" s="19" t="s">
        <v>754</v>
      </c>
      <c r="H202" s="19" t="s">
        <v>755</v>
      </c>
      <c r="I202" s="19" t="s">
        <v>756</v>
      </c>
      <c r="J202" s="2" t="s">
        <v>2</v>
      </c>
      <c r="K202" s="20">
        <v>45638</v>
      </c>
      <c r="L202" s="20">
        <v>45638</v>
      </c>
      <c r="M202" s="22">
        <v>95</v>
      </c>
      <c r="N202" s="21">
        <v>94800</v>
      </c>
      <c r="O202" s="2" t="s">
        <v>76</v>
      </c>
      <c r="P202" s="2" t="s">
        <v>4</v>
      </c>
      <c r="Q202" s="2" t="s">
        <v>5</v>
      </c>
      <c r="R202" s="21">
        <f t="shared" si="27"/>
        <v>94800</v>
      </c>
      <c r="S202" s="21">
        <v>94800</v>
      </c>
      <c r="T202" s="5">
        <f t="shared" si="28"/>
        <v>15000</v>
      </c>
      <c r="U202">
        <f t="shared" si="29"/>
        <v>12</v>
      </c>
      <c r="V202">
        <f t="shared" si="30"/>
        <v>12</v>
      </c>
      <c r="W202" s="5">
        <f t="shared" si="31"/>
        <v>0</v>
      </c>
      <c r="X202" s="2" t="s">
        <v>6</v>
      </c>
      <c r="Y202" s="2" t="s">
        <v>2</v>
      </c>
      <c r="Z202">
        <v>798</v>
      </c>
      <c r="AC202">
        <f t="shared" si="32"/>
        <v>2024</v>
      </c>
      <c r="AD202">
        <f t="shared" si="33"/>
        <v>2024</v>
      </c>
      <c r="AE202">
        <f t="shared" si="34"/>
        <v>2024</v>
      </c>
      <c r="AF202">
        <f t="shared" si="35"/>
        <v>12</v>
      </c>
    </row>
    <row r="203" spans="1:32" x14ac:dyDescent="0.25">
      <c r="A203" s="59">
        <v>45637</v>
      </c>
      <c r="B203" s="2">
        <v>1189</v>
      </c>
      <c r="C203" s="19" t="s">
        <v>753</v>
      </c>
      <c r="D203" s="19" t="s">
        <v>2</v>
      </c>
      <c r="E203" s="19" t="s">
        <v>2</v>
      </c>
      <c r="F203" s="19" t="s">
        <v>757</v>
      </c>
      <c r="G203" s="19" t="s">
        <v>758</v>
      </c>
      <c r="H203" s="19" t="s">
        <v>759</v>
      </c>
      <c r="I203" s="19" t="s">
        <v>760</v>
      </c>
      <c r="J203" s="2" t="s">
        <v>2</v>
      </c>
      <c r="K203" s="20">
        <v>45638</v>
      </c>
      <c r="L203" s="20">
        <v>45638</v>
      </c>
      <c r="M203" s="22">
        <v>262</v>
      </c>
      <c r="N203" s="21">
        <v>262600</v>
      </c>
      <c r="O203" s="2" t="s">
        <v>76</v>
      </c>
      <c r="P203" s="2" t="s">
        <v>4</v>
      </c>
      <c r="Q203" s="2" t="s">
        <v>5</v>
      </c>
      <c r="R203" s="21">
        <f t="shared" si="27"/>
        <v>262600</v>
      </c>
      <c r="S203" s="21">
        <v>262600</v>
      </c>
      <c r="T203" s="5">
        <f t="shared" si="28"/>
        <v>15000</v>
      </c>
      <c r="U203">
        <f t="shared" si="29"/>
        <v>12</v>
      </c>
      <c r="V203">
        <f t="shared" si="30"/>
        <v>12</v>
      </c>
      <c r="W203" s="5">
        <f t="shared" si="31"/>
        <v>0</v>
      </c>
      <c r="X203" s="2" t="s">
        <v>6</v>
      </c>
      <c r="Y203" s="2" t="s">
        <v>2</v>
      </c>
      <c r="Z203">
        <v>798</v>
      </c>
      <c r="AC203">
        <f t="shared" si="32"/>
        <v>2024</v>
      </c>
      <c r="AD203">
        <f t="shared" si="33"/>
        <v>2024</v>
      </c>
      <c r="AE203">
        <f t="shared" si="34"/>
        <v>2024</v>
      </c>
      <c r="AF203">
        <f t="shared" si="35"/>
        <v>12</v>
      </c>
    </row>
    <row r="204" spans="1:32" x14ac:dyDescent="0.25">
      <c r="A204" s="59">
        <v>45637</v>
      </c>
      <c r="B204" s="2">
        <v>1190</v>
      </c>
      <c r="C204" s="19" t="s">
        <v>1732</v>
      </c>
      <c r="D204" s="19" t="s">
        <v>2</v>
      </c>
      <c r="E204" s="19" t="s">
        <v>2</v>
      </c>
      <c r="F204" s="19" t="s">
        <v>106</v>
      </c>
      <c r="G204" s="19" t="s">
        <v>107</v>
      </c>
      <c r="H204" s="19" t="s">
        <v>265</v>
      </c>
      <c r="I204" s="19" t="s">
        <v>761</v>
      </c>
      <c r="J204" s="2" t="s">
        <v>2</v>
      </c>
      <c r="K204" s="20">
        <v>45637</v>
      </c>
      <c r="L204" s="20">
        <v>45639</v>
      </c>
      <c r="M204" s="22">
        <v>370</v>
      </c>
      <c r="N204" s="21">
        <v>370000</v>
      </c>
      <c r="O204" s="2" t="s">
        <v>76</v>
      </c>
      <c r="P204" s="2" t="s">
        <v>4</v>
      </c>
      <c r="Q204" s="2" t="s">
        <v>5</v>
      </c>
      <c r="R204" s="21">
        <f t="shared" si="27"/>
        <v>370000</v>
      </c>
      <c r="S204" s="21">
        <v>370000</v>
      </c>
      <c r="T204" s="5">
        <f t="shared" si="28"/>
        <v>15000</v>
      </c>
      <c r="U204">
        <f t="shared" si="29"/>
        <v>12</v>
      </c>
      <c r="V204">
        <f t="shared" si="30"/>
        <v>12</v>
      </c>
      <c r="W204" s="5">
        <f t="shared" si="31"/>
        <v>0</v>
      </c>
      <c r="X204" s="2" t="s">
        <v>6</v>
      </c>
      <c r="Y204" s="2" t="s">
        <v>2</v>
      </c>
      <c r="Z204">
        <v>797</v>
      </c>
      <c r="AC204">
        <f t="shared" si="32"/>
        <v>2024</v>
      </c>
      <c r="AD204">
        <f t="shared" si="33"/>
        <v>2024</v>
      </c>
      <c r="AE204">
        <f t="shared" si="34"/>
        <v>2024</v>
      </c>
      <c r="AF204">
        <f t="shared" si="35"/>
        <v>12</v>
      </c>
    </row>
    <row r="205" spans="1:32" x14ac:dyDescent="0.25">
      <c r="A205" s="59">
        <v>45639</v>
      </c>
      <c r="B205" s="2">
        <v>1191</v>
      </c>
      <c r="C205" s="19" t="s">
        <v>748</v>
      </c>
      <c r="D205" s="19" t="s">
        <v>2</v>
      </c>
      <c r="E205" s="19" t="s">
        <v>2</v>
      </c>
      <c r="F205" s="19" t="s">
        <v>749</v>
      </c>
      <c r="G205" s="19" t="s">
        <v>750</v>
      </c>
      <c r="H205" s="19" t="s">
        <v>751</v>
      </c>
      <c r="I205" s="19" t="s">
        <v>752</v>
      </c>
      <c r="J205" s="2" t="s">
        <v>2</v>
      </c>
      <c r="K205" s="20">
        <v>45640</v>
      </c>
      <c r="L205" s="20">
        <v>45640</v>
      </c>
      <c r="M205" s="22">
        <v>53</v>
      </c>
      <c r="N205" s="21">
        <v>53600</v>
      </c>
      <c r="O205" s="2" t="s">
        <v>76</v>
      </c>
      <c r="P205" s="2" t="s">
        <v>4</v>
      </c>
      <c r="Q205" s="2" t="s">
        <v>5</v>
      </c>
      <c r="R205" s="21">
        <f t="shared" si="27"/>
        <v>53600</v>
      </c>
      <c r="S205" s="21">
        <v>53600</v>
      </c>
      <c r="T205" s="5">
        <f t="shared" si="28"/>
        <v>15000</v>
      </c>
      <c r="U205">
        <f t="shared" si="29"/>
        <v>12</v>
      </c>
      <c r="V205">
        <f t="shared" si="30"/>
        <v>12</v>
      </c>
      <c r="W205" s="5">
        <f t="shared" si="31"/>
        <v>0</v>
      </c>
      <c r="X205" s="2" t="s">
        <v>6</v>
      </c>
      <c r="Y205" s="2" t="s">
        <v>2</v>
      </c>
      <c r="Z205">
        <v>796</v>
      </c>
      <c r="AC205">
        <f t="shared" si="32"/>
        <v>2024</v>
      </c>
      <c r="AD205">
        <f t="shared" si="33"/>
        <v>2024</v>
      </c>
      <c r="AE205">
        <f t="shared" si="34"/>
        <v>2024</v>
      </c>
      <c r="AF205">
        <f t="shared" si="35"/>
        <v>12</v>
      </c>
    </row>
    <row r="206" spans="1:32" x14ac:dyDescent="0.25">
      <c r="A206" s="59">
        <v>45642.125</v>
      </c>
      <c r="B206" s="2">
        <v>1192</v>
      </c>
      <c r="C206" s="19" t="s">
        <v>573</v>
      </c>
      <c r="D206" s="19" t="s">
        <v>2</v>
      </c>
      <c r="E206" s="19" t="s">
        <v>2</v>
      </c>
      <c r="F206" s="19" t="s">
        <v>224</v>
      </c>
      <c r="G206" s="19" t="s">
        <v>762</v>
      </c>
      <c r="H206" s="19" t="s">
        <v>763</v>
      </c>
      <c r="I206" s="19" t="s">
        <v>764</v>
      </c>
      <c r="J206" s="2" t="s">
        <v>2</v>
      </c>
      <c r="K206" s="20">
        <v>45643.125</v>
      </c>
      <c r="L206" s="20">
        <v>45643.125</v>
      </c>
      <c r="M206" s="22">
        <v>170</v>
      </c>
      <c r="N206" s="21">
        <v>177000</v>
      </c>
      <c r="O206" s="2" t="s">
        <v>76</v>
      </c>
      <c r="P206" s="2" t="s">
        <v>4</v>
      </c>
      <c r="Q206" s="2" t="s">
        <v>5</v>
      </c>
      <c r="R206" s="21">
        <f t="shared" si="27"/>
        <v>177000</v>
      </c>
      <c r="S206" s="21">
        <v>177000</v>
      </c>
      <c r="T206" s="5">
        <f t="shared" si="28"/>
        <v>15000</v>
      </c>
      <c r="U206">
        <f t="shared" si="29"/>
        <v>12</v>
      </c>
      <c r="V206">
        <f t="shared" si="30"/>
        <v>12</v>
      </c>
      <c r="W206" s="5">
        <f t="shared" si="31"/>
        <v>0</v>
      </c>
      <c r="X206" s="2" t="s">
        <v>6</v>
      </c>
      <c r="Y206" s="2" t="s">
        <v>2</v>
      </c>
      <c r="Z206">
        <v>799</v>
      </c>
      <c r="AC206">
        <f t="shared" si="32"/>
        <v>2024</v>
      </c>
      <c r="AD206">
        <f t="shared" si="33"/>
        <v>2024</v>
      </c>
      <c r="AE206">
        <f t="shared" si="34"/>
        <v>2024</v>
      </c>
      <c r="AF206">
        <f t="shared" si="35"/>
        <v>12</v>
      </c>
    </row>
    <row r="207" spans="1:32" x14ac:dyDescent="0.25">
      <c r="A207" s="59">
        <v>45643.125</v>
      </c>
      <c r="B207" s="2">
        <v>1193</v>
      </c>
      <c r="C207" s="19" t="s">
        <v>135</v>
      </c>
      <c r="D207" s="19" t="s">
        <v>2</v>
      </c>
      <c r="E207" s="19" t="s">
        <v>2</v>
      </c>
      <c r="F207" s="19" t="s">
        <v>136</v>
      </c>
      <c r="G207" s="19" t="s">
        <v>137</v>
      </c>
      <c r="H207" s="19" t="s">
        <v>138</v>
      </c>
      <c r="I207" s="19" t="s">
        <v>765</v>
      </c>
      <c r="J207" s="2" t="s">
        <v>2</v>
      </c>
      <c r="K207" s="20">
        <v>45666.125</v>
      </c>
      <c r="L207" s="20">
        <v>45666.125</v>
      </c>
      <c r="M207" s="22">
        <v>235</v>
      </c>
      <c r="N207" s="21">
        <v>235600</v>
      </c>
      <c r="O207" s="2" t="s">
        <v>76</v>
      </c>
      <c r="P207" s="2" t="s">
        <v>4</v>
      </c>
      <c r="Q207" s="2" t="s">
        <v>5</v>
      </c>
      <c r="R207" s="21">
        <f t="shared" si="27"/>
        <v>235600</v>
      </c>
      <c r="S207" s="21">
        <v>235600</v>
      </c>
      <c r="T207" s="5">
        <f t="shared" si="28"/>
        <v>15000</v>
      </c>
      <c r="U207">
        <f t="shared" si="29"/>
        <v>1</v>
      </c>
      <c r="V207">
        <f t="shared" si="30"/>
        <v>12</v>
      </c>
      <c r="W207" s="5">
        <f t="shared" si="31"/>
        <v>0</v>
      </c>
      <c r="X207" s="2" t="s">
        <v>6</v>
      </c>
      <c r="Y207" s="2" t="s">
        <v>2</v>
      </c>
      <c r="Z207">
        <v>801</v>
      </c>
      <c r="AC207">
        <f t="shared" si="32"/>
        <v>2025</v>
      </c>
      <c r="AD207">
        <f t="shared" si="33"/>
        <v>2024</v>
      </c>
      <c r="AE207">
        <f t="shared" si="34"/>
        <v>2025</v>
      </c>
      <c r="AF207">
        <f t="shared" si="35"/>
        <v>1</v>
      </c>
    </row>
    <row r="208" spans="1:32" x14ac:dyDescent="0.25">
      <c r="A208" s="59">
        <v>45643.125</v>
      </c>
      <c r="B208" s="2">
        <v>1194</v>
      </c>
      <c r="C208" s="19" t="s">
        <v>1</v>
      </c>
      <c r="D208" s="19" t="s">
        <v>2</v>
      </c>
      <c r="E208" s="19" t="s">
        <v>2</v>
      </c>
      <c r="F208" s="19" t="s">
        <v>766</v>
      </c>
      <c r="G208" s="19" t="s">
        <v>767</v>
      </c>
      <c r="H208" s="19" t="s">
        <v>768</v>
      </c>
      <c r="I208" s="19" t="s">
        <v>769</v>
      </c>
      <c r="J208" s="2" t="s">
        <v>2</v>
      </c>
      <c r="K208" s="20">
        <v>45666.125</v>
      </c>
      <c r="L208" s="20">
        <v>45644.125</v>
      </c>
      <c r="M208" s="22">
        <v>150</v>
      </c>
      <c r="N208" s="21">
        <v>153600</v>
      </c>
      <c r="O208" s="2" t="s">
        <v>76</v>
      </c>
      <c r="P208" s="2" t="s">
        <v>4</v>
      </c>
      <c r="Q208" s="2" t="s">
        <v>5</v>
      </c>
      <c r="R208" s="21">
        <f t="shared" si="27"/>
        <v>153600</v>
      </c>
      <c r="S208" s="21">
        <v>153600</v>
      </c>
      <c r="T208" s="5">
        <f t="shared" si="28"/>
        <v>15000</v>
      </c>
      <c r="U208">
        <f t="shared" si="29"/>
        <v>1</v>
      </c>
      <c r="V208">
        <f t="shared" si="30"/>
        <v>12</v>
      </c>
      <c r="W208" s="5">
        <f t="shared" si="31"/>
        <v>0</v>
      </c>
      <c r="X208" s="2" t="s">
        <v>6</v>
      </c>
      <c r="Y208" s="2" t="s">
        <v>2</v>
      </c>
      <c r="Z208">
        <v>800</v>
      </c>
      <c r="AA208" t="s">
        <v>1576</v>
      </c>
      <c r="AC208">
        <f t="shared" si="32"/>
        <v>2025</v>
      </c>
      <c r="AD208">
        <f t="shared" si="33"/>
        <v>2024</v>
      </c>
      <c r="AE208">
        <f t="shared" si="34"/>
        <v>2024</v>
      </c>
      <c r="AF208">
        <f t="shared" si="35"/>
        <v>12</v>
      </c>
    </row>
    <row r="209" spans="1:32" x14ac:dyDescent="0.25">
      <c r="A209" s="59">
        <v>45667.125</v>
      </c>
      <c r="B209" s="2">
        <v>1195</v>
      </c>
      <c r="C209" s="19" t="s">
        <v>1732</v>
      </c>
      <c r="D209" s="19" t="s">
        <v>2</v>
      </c>
      <c r="E209" s="19" t="s">
        <v>2</v>
      </c>
      <c r="F209" s="19" t="s">
        <v>681</v>
      </c>
      <c r="G209" s="19" t="s">
        <v>369</v>
      </c>
      <c r="H209" s="19" t="s">
        <v>682</v>
      </c>
      <c r="I209" s="19" t="s">
        <v>683</v>
      </c>
      <c r="J209" s="2" t="s">
        <v>2</v>
      </c>
      <c r="K209" s="20">
        <v>45672.125</v>
      </c>
      <c r="L209" s="20">
        <v>45672.125</v>
      </c>
      <c r="M209" s="22">
        <v>204</v>
      </c>
      <c r="N209" s="21">
        <v>215500</v>
      </c>
      <c r="O209" s="2" t="s">
        <v>76</v>
      </c>
      <c r="P209" s="2" t="s">
        <v>4</v>
      </c>
      <c r="Q209" s="2" t="s">
        <v>5</v>
      </c>
      <c r="R209" s="21">
        <f t="shared" si="27"/>
        <v>215500</v>
      </c>
      <c r="S209" s="21">
        <v>215500</v>
      </c>
      <c r="T209" s="5">
        <f t="shared" si="28"/>
        <v>15000</v>
      </c>
      <c r="U209">
        <f t="shared" si="29"/>
        <v>1</v>
      </c>
      <c r="V209">
        <f t="shared" si="30"/>
        <v>1</v>
      </c>
      <c r="W209" s="5">
        <f t="shared" si="31"/>
        <v>0</v>
      </c>
      <c r="X209" s="2" t="s">
        <v>6</v>
      </c>
      <c r="Y209" s="2" t="s">
        <v>2</v>
      </c>
      <c r="Z209">
        <v>802</v>
      </c>
      <c r="AA209" t="s">
        <v>1577</v>
      </c>
      <c r="AC209">
        <f t="shared" si="32"/>
        <v>2025</v>
      </c>
      <c r="AD209">
        <f t="shared" si="33"/>
        <v>2025</v>
      </c>
      <c r="AE209">
        <f t="shared" si="34"/>
        <v>2025</v>
      </c>
      <c r="AF209">
        <f t="shared" si="35"/>
        <v>1</v>
      </c>
    </row>
    <row r="210" spans="1:32" x14ac:dyDescent="0.25">
      <c r="A210" s="59">
        <v>45667</v>
      </c>
      <c r="B210" s="2">
        <v>1196</v>
      </c>
      <c r="C210" s="19" t="s">
        <v>1732</v>
      </c>
      <c r="D210" s="19" t="s">
        <v>2</v>
      </c>
      <c r="E210" s="19" t="s">
        <v>2</v>
      </c>
      <c r="F210" s="19" t="s">
        <v>770</v>
      </c>
      <c r="G210" s="19" t="s">
        <v>771</v>
      </c>
      <c r="H210" s="19" t="s">
        <v>772</v>
      </c>
      <c r="I210" s="19" t="s">
        <v>773</v>
      </c>
      <c r="J210" s="2" t="s">
        <v>2</v>
      </c>
      <c r="K210" s="20">
        <v>45667</v>
      </c>
      <c r="L210" s="20"/>
      <c r="M210" s="22">
        <v>115</v>
      </c>
      <c r="N210" s="21">
        <v>115600</v>
      </c>
      <c r="O210" s="2" t="s">
        <v>3</v>
      </c>
      <c r="P210" s="2" t="s">
        <v>128</v>
      </c>
      <c r="Q210" s="2" t="s">
        <v>97</v>
      </c>
      <c r="R210" s="21">
        <f t="shared" si="27"/>
        <v>0</v>
      </c>
      <c r="S210" s="21">
        <v>0</v>
      </c>
      <c r="T210" s="5">
        <f t="shared" si="28"/>
        <v>15000</v>
      </c>
      <c r="U210">
        <f t="shared" si="29"/>
        <v>1</v>
      </c>
      <c r="V210">
        <f t="shared" si="30"/>
        <v>1</v>
      </c>
      <c r="W210" s="5">
        <f t="shared" si="31"/>
        <v>0</v>
      </c>
      <c r="X210" s="2" t="s">
        <v>6</v>
      </c>
      <c r="Y210" s="2" t="s">
        <v>2</v>
      </c>
      <c r="AC210">
        <f t="shared" si="32"/>
        <v>2025</v>
      </c>
      <c r="AD210">
        <f t="shared" si="33"/>
        <v>2025</v>
      </c>
      <c r="AE210" t="str">
        <f t="shared" si="34"/>
        <v/>
      </c>
      <c r="AF210" t="str">
        <f t="shared" si="35"/>
        <v/>
      </c>
    </row>
    <row r="211" spans="1:32" x14ac:dyDescent="0.25">
      <c r="A211" s="59">
        <v>45667</v>
      </c>
      <c r="B211" s="2">
        <v>1197</v>
      </c>
      <c r="C211" s="19" t="s">
        <v>774</v>
      </c>
      <c r="D211" s="19" t="s">
        <v>2</v>
      </c>
      <c r="E211" s="19" t="s">
        <v>2</v>
      </c>
      <c r="F211" s="19" t="s">
        <v>775</v>
      </c>
      <c r="G211" s="19" t="s">
        <v>776</v>
      </c>
      <c r="H211" s="19" t="s">
        <v>777</v>
      </c>
      <c r="I211" s="19" t="s">
        <v>778</v>
      </c>
      <c r="J211" s="2" t="s">
        <v>2</v>
      </c>
      <c r="K211" s="20">
        <v>45675</v>
      </c>
      <c r="L211" s="20">
        <v>45667</v>
      </c>
      <c r="M211" s="22">
        <v>120</v>
      </c>
      <c r="N211" s="21">
        <v>126500</v>
      </c>
      <c r="O211" s="2" t="s">
        <v>76</v>
      </c>
      <c r="P211" s="2" t="s">
        <v>4</v>
      </c>
      <c r="Q211" s="2" t="s">
        <v>5</v>
      </c>
      <c r="R211" s="21">
        <f t="shared" si="27"/>
        <v>126500</v>
      </c>
      <c r="S211" s="21">
        <v>126500</v>
      </c>
      <c r="T211" s="5">
        <f t="shared" si="28"/>
        <v>15000</v>
      </c>
      <c r="U211">
        <f t="shared" si="29"/>
        <v>1</v>
      </c>
      <c r="V211">
        <f t="shared" si="30"/>
        <v>1</v>
      </c>
      <c r="W211" s="5">
        <f t="shared" si="31"/>
        <v>0</v>
      </c>
      <c r="X211" s="2" t="s">
        <v>6</v>
      </c>
      <c r="Y211" s="2" t="s">
        <v>2</v>
      </c>
      <c r="Z211">
        <v>807</v>
      </c>
      <c r="AC211">
        <f t="shared" si="32"/>
        <v>2025</v>
      </c>
      <c r="AD211">
        <f t="shared" si="33"/>
        <v>2025</v>
      </c>
      <c r="AE211">
        <f t="shared" si="34"/>
        <v>2025</v>
      </c>
      <c r="AF211">
        <f t="shared" si="35"/>
        <v>1</v>
      </c>
    </row>
    <row r="212" spans="1:32" x14ac:dyDescent="0.25">
      <c r="A212" s="59">
        <v>45667</v>
      </c>
      <c r="B212" s="2">
        <v>1198</v>
      </c>
      <c r="C212" s="19" t="s">
        <v>1732</v>
      </c>
      <c r="D212" s="19" t="s">
        <v>2</v>
      </c>
      <c r="E212" s="19" t="s">
        <v>2</v>
      </c>
      <c r="F212" s="19" t="s">
        <v>106</v>
      </c>
      <c r="G212" s="19" t="s">
        <v>456</v>
      </c>
      <c r="H212" s="19" t="s">
        <v>779</v>
      </c>
      <c r="I212" s="19" t="s">
        <v>780</v>
      </c>
      <c r="J212" s="2" t="s">
        <v>2</v>
      </c>
      <c r="K212" s="20">
        <v>45677</v>
      </c>
      <c r="L212" s="20">
        <v>45667</v>
      </c>
      <c r="M212" s="22">
        <v>400</v>
      </c>
      <c r="N212" s="21">
        <v>423400</v>
      </c>
      <c r="O212" s="2" t="s">
        <v>76</v>
      </c>
      <c r="P212" s="2" t="s">
        <v>4</v>
      </c>
      <c r="Q212" s="2" t="s">
        <v>5</v>
      </c>
      <c r="R212" s="21">
        <f t="shared" si="27"/>
        <v>423400</v>
      </c>
      <c r="S212" s="21">
        <v>423400</v>
      </c>
      <c r="T212" s="5">
        <f t="shared" si="28"/>
        <v>15000</v>
      </c>
      <c r="U212">
        <f t="shared" si="29"/>
        <v>1</v>
      </c>
      <c r="V212">
        <f t="shared" si="30"/>
        <v>1</v>
      </c>
      <c r="W212" s="5">
        <f t="shared" si="31"/>
        <v>0</v>
      </c>
      <c r="X212" s="2" t="s">
        <v>6</v>
      </c>
      <c r="Y212" s="2" t="s">
        <v>2</v>
      </c>
      <c r="Z212">
        <v>808</v>
      </c>
      <c r="AA212" t="s">
        <v>1578</v>
      </c>
      <c r="AC212">
        <f t="shared" si="32"/>
        <v>2025</v>
      </c>
      <c r="AD212">
        <f t="shared" si="33"/>
        <v>2025</v>
      </c>
      <c r="AE212">
        <f t="shared" si="34"/>
        <v>2025</v>
      </c>
      <c r="AF212">
        <f t="shared" si="35"/>
        <v>1</v>
      </c>
    </row>
    <row r="213" spans="1:32" x14ac:dyDescent="0.25">
      <c r="A213" s="59">
        <v>45670</v>
      </c>
      <c r="B213" s="2">
        <v>1199</v>
      </c>
      <c r="C213" s="19" t="s">
        <v>156</v>
      </c>
      <c r="D213" s="19" t="s">
        <v>2</v>
      </c>
      <c r="E213" s="19" t="s">
        <v>2</v>
      </c>
      <c r="F213" s="19" t="s">
        <v>781</v>
      </c>
      <c r="G213" s="19" t="s">
        <v>782</v>
      </c>
      <c r="H213" s="19" t="s">
        <v>783</v>
      </c>
      <c r="I213" s="19" t="s">
        <v>784</v>
      </c>
      <c r="J213" s="2" t="s">
        <v>2</v>
      </c>
      <c r="K213" s="20">
        <v>45678</v>
      </c>
      <c r="L213" s="20">
        <v>45671</v>
      </c>
      <c r="M213" s="22">
        <v>212</v>
      </c>
      <c r="N213" s="21">
        <v>224600</v>
      </c>
      <c r="O213" s="2" t="s">
        <v>76</v>
      </c>
      <c r="P213" s="2" t="s">
        <v>4</v>
      </c>
      <c r="Q213" s="2" t="s">
        <v>5</v>
      </c>
      <c r="R213" s="21">
        <f t="shared" si="27"/>
        <v>224600</v>
      </c>
      <c r="S213" s="21">
        <v>224600</v>
      </c>
      <c r="T213" s="5">
        <f t="shared" si="28"/>
        <v>15000</v>
      </c>
      <c r="U213">
        <f t="shared" si="29"/>
        <v>1</v>
      </c>
      <c r="V213">
        <f t="shared" si="30"/>
        <v>1</v>
      </c>
      <c r="W213" s="5">
        <f t="shared" si="31"/>
        <v>0</v>
      </c>
      <c r="X213" s="2" t="s">
        <v>6</v>
      </c>
      <c r="Y213" s="2" t="s">
        <v>2</v>
      </c>
      <c r="AA213" t="s">
        <v>1579</v>
      </c>
      <c r="AC213">
        <f t="shared" si="32"/>
        <v>2025</v>
      </c>
      <c r="AD213">
        <f t="shared" si="33"/>
        <v>2025</v>
      </c>
      <c r="AE213">
        <f t="shared" si="34"/>
        <v>2025</v>
      </c>
      <c r="AF213">
        <f t="shared" si="35"/>
        <v>1</v>
      </c>
    </row>
    <row r="214" spans="1:32" x14ac:dyDescent="0.25">
      <c r="A214" s="59">
        <v>45671</v>
      </c>
      <c r="B214" s="2">
        <v>1200</v>
      </c>
      <c r="C214" s="19" t="s">
        <v>1</v>
      </c>
      <c r="D214" s="19" t="s">
        <v>2</v>
      </c>
      <c r="E214" s="19" t="s">
        <v>785</v>
      </c>
      <c r="F214" s="19" t="s">
        <v>136</v>
      </c>
      <c r="G214" s="19" t="s">
        <v>137</v>
      </c>
      <c r="H214" s="19" t="s">
        <v>138</v>
      </c>
      <c r="I214" s="19" t="s">
        <v>786</v>
      </c>
      <c r="J214" s="2" t="s">
        <v>2</v>
      </c>
      <c r="K214" s="20">
        <v>45672</v>
      </c>
      <c r="L214" s="20">
        <v>45671</v>
      </c>
      <c r="M214" s="22">
        <v>150</v>
      </c>
      <c r="N214" s="21">
        <v>159700</v>
      </c>
      <c r="O214" s="2" t="s">
        <v>76</v>
      </c>
      <c r="P214" s="2" t="s">
        <v>4</v>
      </c>
      <c r="Q214" s="2" t="s">
        <v>5</v>
      </c>
      <c r="R214" s="21">
        <f t="shared" si="27"/>
        <v>159700</v>
      </c>
      <c r="S214" s="21">
        <v>159700</v>
      </c>
      <c r="T214" s="5">
        <f t="shared" si="28"/>
        <v>15000</v>
      </c>
      <c r="U214">
        <f t="shared" si="29"/>
        <v>1</v>
      </c>
      <c r="V214">
        <f t="shared" si="30"/>
        <v>1</v>
      </c>
      <c r="W214" s="5">
        <f t="shared" si="31"/>
        <v>0</v>
      </c>
      <c r="X214" s="2" t="s">
        <v>6</v>
      </c>
      <c r="Y214" s="2" t="s">
        <v>2</v>
      </c>
      <c r="Z214">
        <v>803</v>
      </c>
      <c r="AA214" t="s">
        <v>1580</v>
      </c>
      <c r="AC214">
        <f t="shared" si="32"/>
        <v>2025</v>
      </c>
      <c r="AD214">
        <f t="shared" si="33"/>
        <v>2025</v>
      </c>
      <c r="AE214">
        <f t="shared" si="34"/>
        <v>2025</v>
      </c>
      <c r="AF214">
        <f t="shared" si="35"/>
        <v>1</v>
      </c>
    </row>
    <row r="215" spans="1:32" x14ac:dyDescent="0.25">
      <c r="A215" s="59">
        <v>45671</v>
      </c>
      <c r="B215" s="2">
        <v>1201</v>
      </c>
      <c r="C215" s="19" t="s">
        <v>1</v>
      </c>
      <c r="D215" s="19" t="s">
        <v>2</v>
      </c>
      <c r="E215" s="19" t="s">
        <v>787</v>
      </c>
      <c r="F215" s="19" t="s">
        <v>136</v>
      </c>
      <c r="G215" s="19" t="s">
        <v>137</v>
      </c>
      <c r="H215" s="19" t="s">
        <v>138</v>
      </c>
      <c r="I215" s="19" t="s">
        <v>788</v>
      </c>
      <c r="J215" s="2" t="s">
        <v>2</v>
      </c>
      <c r="K215" s="20">
        <v>45675</v>
      </c>
      <c r="L215" s="20">
        <v>45674</v>
      </c>
      <c r="M215" s="22">
        <v>140</v>
      </c>
      <c r="N215" s="21">
        <v>148500</v>
      </c>
      <c r="O215" s="2" t="s">
        <v>76</v>
      </c>
      <c r="P215" s="2" t="s">
        <v>4</v>
      </c>
      <c r="Q215" s="2" t="s">
        <v>5</v>
      </c>
      <c r="R215" s="21">
        <f t="shared" si="27"/>
        <v>148500</v>
      </c>
      <c r="S215" s="21">
        <v>148500</v>
      </c>
      <c r="T215" s="5">
        <f t="shared" si="28"/>
        <v>15000</v>
      </c>
      <c r="U215">
        <f t="shared" si="29"/>
        <v>1</v>
      </c>
      <c r="V215">
        <f t="shared" si="30"/>
        <v>1</v>
      </c>
      <c r="W215" s="5">
        <f t="shared" si="31"/>
        <v>0</v>
      </c>
      <c r="X215" s="2" t="s">
        <v>6</v>
      </c>
      <c r="Y215" s="2" t="s">
        <v>2</v>
      </c>
      <c r="Z215">
        <v>805</v>
      </c>
      <c r="AA215" t="s">
        <v>1581</v>
      </c>
      <c r="AC215">
        <f t="shared" si="32"/>
        <v>2025</v>
      </c>
      <c r="AD215">
        <f t="shared" si="33"/>
        <v>2025</v>
      </c>
      <c r="AE215">
        <f t="shared" si="34"/>
        <v>2025</v>
      </c>
      <c r="AF215">
        <f t="shared" si="35"/>
        <v>1</v>
      </c>
    </row>
    <row r="216" spans="1:32" x14ac:dyDescent="0.25">
      <c r="A216" s="59">
        <v>45672</v>
      </c>
      <c r="B216" s="2">
        <v>1202</v>
      </c>
      <c r="C216" s="19" t="s">
        <v>789</v>
      </c>
      <c r="D216" s="19" t="s">
        <v>2</v>
      </c>
      <c r="E216" s="19" t="s">
        <v>2</v>
      </c>
      <c r="F216" s="19" t="s">
        <v>399</v>
      </c>
      <c r="G216" s="19" t="s">
        <v>790</v>
      </c>
      <c r="H216" s="19" t="s">
        <v>791</v>
      </c>
      <c r="I216" s="19" t="s">
        <v>792</v>
      </c>
      <c r="J216" s="2" t="s">
        <v>2</v>
      </c>
      <c r="K216" s="20">
        <v>45672</v>
      </c>
      <c r="L216" s="20">
        <v>45678</v>
      </c>
      <c r="M216" s="22">
        <v>200</v>
      </c>
      <c r="N216" s="21">
        <v>212300</v>
      </c>
      <c r="O216" s="2" t="s">
        <v>76</v>
      </c>
      <c r="P216" s="2" t="s">
        <v>4</v>
      </c>
      <c r="Q216" s="2" t="s">
        <v>5</v>
      </c>
      <c r="R216" s="21">
        <f t="shared" si="27"/>
        <v>212300</v>
      </c>
      <c r="S216" s="21">
        <v>212300</v>
      </c>
      <c r="T216" s="5">
        <f t="shared" si="28"/>
        <v>15000</v>
      </c>
      <c r="U216">
        <f t="shared" si="29"/>
        <v>1</v>
      </c>
      <c r="V216">
        <f t="shared" si="30"/>
        <v>1</v>
      </c>
      <c r="W216" s="5">
        <f t="shared" si="31"/>
        <v>0</v>
      </c>
      <c r="X216" s="2" t="s">
        <v>6</v>
      </c>
      <c r="Y216" s="2" t="s">
        <v>2</v>
      </c>
      <c r="Z216">
        <v>804</v>
      </c>
      <c r="AA216" t="s">
        <v>1582</v>
      </c>
      <c r="AC216">
        <f t="shared" si="32"/>
        <v>2025</v>
      </c>
      <c r="AD216">
        <f t="shared" si="33"/>
        <v>2025</v>
      </c>
      <c r="AE216">
        <f t="shared" si="34"/>
        <v>2025</v>
      </c>
      <c r="AF216">
        <f t="shared" si="35"/>
        <v>1</v>
      </c>
    </row>
    <row r="217" spans="1:32" x14ac:dyDescent="0.25">
      <c r="A217" s="59">
        <v>45673.125</v>
      </c>
      <c r="B217" s="2">
        <v>1203</v>
      </c>
      <c r="C217" s="19" t="s">
        <v>1</v>
      </c>
      <c r="D217" s="19" t="s">
        <v>2</v>
      </c>
      <c r="E217" s="19" t="s">
        <v>2</v>
      </c>
      <c r="F217" s="19" t="s">
        <v>136</v>
      </c>
      <c r="G217" s="19" t="s">
        <v>137</v>
      </c>
      <c r="H217" s="19" t="s">
        <v>793</v>
      </c>
      <c r="I217" s="19" t="s">
        <v>794</v>
      </c>
      <c r="J217" s="2" t="s">
        <v>2</v>
      </c>
      <c r="K217" s="20">
        <v>45673.125</v>
      </c>
      <c r="L217" s="20">
        <v>45674.125</v>
      </c>
      <c r="M217" s="22">
        <v>148</v>
      </c>
      <c r="N217" s="21">
        <v>157300</v>
      </c>
      <c r="O217" s="2" t="s">
        <v>76</v>
      </c>
      <c r="P217" s="2" t="s">
        <v>4</v>
      </c>
      <c r="Q217" s="2" t="s">
        <v>5</v>
      </c>
      <c r="R217" s="21">
        <f t="shared" si="27"/>
        <v>157300</v>
      </c>
      <c r="S217" s="21">
        <v>157300</v>
      </c>
      <c r="T217" s="5">
        <f t="shared" si="28"/>
        <v>15000</v>
      </c>
      <c r="U217">
        <f t="shared" si="29"/>
        <v>1</v>
      </c>
      <c r="V217">
        <f t="shared" si="30"/>
        <v>1</v>
      </c>
      <c r="W217" s="5">
        <f t="shared" si="31"/>
        <v>0</v>
      </c>
      <c r="X217" s="2" t="s">
        <v>6</v>
      </c>
      <c r="Y217" s="2" t="s">
        <v>2</v>
      </c>
      <c r="Z217">
        <v>806</v>
      </c>
      <c r="AA217" t="s">
        <v>1581</v>
      </c>
      <c r="AC217">
        <f t="shared" si="32"/>
        <v>2025</v>
      </c>
      <c r="AD217">
        <f t="shared" si="33"/>
        <v>2025</v>
      </c>
      <c r="AE217">
        <f t="shared" si="34"/>
        <v>2025</v>
      </c>
      <c r="AF217">
        <f t="shared" si="35"/>
        <v>1</v>
      </c>
    </row>
    <row r="218" spans="1:32" x14ac:dyDescent="0.25">
      <c r="A218" s="59">
        <v>45674</v>
      </c>
      <c r="B218" s="2">
        <v>1204</v>
      </c>
      <c r="C218" s="19" t="s">
        <v>676</v>
      </c>
      <c r="D218" s="19" t="s">
        <v>2</v>
      </c>
      <c r="E218" s="19" t="s">
        <v>2</v>
      </c>
      <c r="F218" s="19" t="s">
        <v>795</v>
      </c>
      <c r="G218" s="19" t="s">
        <v>796</v>
      </c>
      <c r="H218" s="19" t="s">
        <v>797</v>
      </c>
      <c r="I218" s="19" t="s">
        <v>798</v>
      </c>
      <c r="J218" s="2" t="s">
        <v>2</v>
      </c>
      <c r="K218" s="20">
        <v>45700</v>
      </c>
      <c r="L218" s="20">
        <v>45700</v>
      </c>
      <c r="M218" s="22">
        <v>800</v>
      </c>
      <c r="N218" s="21">
        <v>864000</v>
      </c>
      <c r="O218" s="2" t="s">
        <v>3</v>
      </c>
      <c r="P218" s="2" t="s">
        <v>145</v>
      </c>
      <c r="Q218" s="2" t="s">
        <v>146</v>
      </c>
      <c r="R218" s="21">
        <f t="shared" si="27"/>
        <v>0</v>
      </c>
      <c r="S218" s="21">
        <v>0</v>
      </c>
      <c r="T218" s="5">
        <f t="shared" si="28"/>
        <v>15000</v>
      </c>
      <c r="U218">
        <f t="shared" si="29"/>
        <v>2</v>
      </c>
      <c r="V218">
        <f t="shared" si="30"/>
        <v>1</v>
      </c>
      <c r="W218" s="5">
        <f t="shared" si="31"/>
        <v>0</v>
      </c>
      <c r="X218" s="2" t="s">
        <v>6</v>
      </c>
      <c r="Y218" s="2" t="s">
        <v>2</v>
      </c>
      <c r="AC218">
        <f t="shared" si="32"/>
        <v>2025</v>
      </c>
      <c r="AD218">
        <f t="shared" si="33"/>
        <v>2025</v>
      </c>
      <c r="AE218">
        <f t="shared" si="34"/>
        <v>2025</v>
      </c>
      <c r="AF218">
        <f t="shared" si="35"/>
        <v>2</v>
      </c>
    </row>
    <row r="219" spans="1:32" x14ac:dyDescent="0.25">
      <c r="A219" s="59">
        <v>45678</v>
      </c>
      <c r="B219" s="2">
        <v>1205</v>
      </c>
      <c r="C219" s="19" t="s">
        <v>799</v>
      </c>
      <c r="D219" s="19" t="s">
        <v>2</v>
      </c>
      <c r="E219" s="19" t="s">
        <v>2</v>
      </c>
      <c r="F219" s="19" t="s">
        <v>399</v>
      </c>
      <c r="G219" s="19" t="s">
        <v>195</v>
      </c>
      <c r="H219" s="19" t="s">
        <v>800</v>
      </c>
      <c r="I219" s="19" t="s">
        <v>801</v>
      </c>
      <c r="J219" s="2" t="s">
        <v>2</v>
      </c>
      <c r="K219" s="20">
        <v>45678</v>
      </c>
      <c r="L219" s="20">
        <v>45678</v>
      </c>
      <c r="M219" s="22">
        <v>200</v>
      </c>
      <c r="N219" s="21">
        <v>212000</v>
      </c>
      <c r="O219" s="2" t="s">
        <v>76</v>
      </c>
      <c r="P219" s="2" t="s">
        <v>4</v>
      </c>
      <c r="Q219" s="2" t="s">
        <v>5</v>
      </c>
      <c r="R219" s="21">
        <f t="shared" si="27"/>
        <v>212000</v>
      </c>
      <c r="S219" s="21">
        <v>212000</v>
      </c>
      <c r="T219" s="5">
        <f t="shared" si="28"/>
        <v>15000</v>
      </c>
      <c r="U219">
        <f t="shared" si="29"/>
        <v>1</v>
      </c>
      <c r="V219">
        <f t="shared" si="30"/>
        <v>1</v>
      </c>
      <c r="W219" s="5">
        <f t="shared" si="31"/>
        <v>0</v>
      </c>
      <c r="X219" s="2" t="s">
        <v>6</v>
      </c>
      <c r="Y219" s="2" t="s">
        <v>2</v>
      </c>
      <c r="Z219">
        <v>809</v>
      </c>
      <c r="AA219" t="s">
        <v>1583</v>
      </c>
      <c r="AC219">
        <f t="shared" si="32"/>
        <v>2025</v>
      </c>
      <c r="AD219">
        <f t="shared" si="33"/>
        <v>2025</v>
      </c>
      <c r="AE219">
        <f t="shared" si="34"/>
        <v>2025</v>
      </c>
      <c r="AF219">
        <f t="shared" si="35"/>
        <v>1</v>
      </c>
    </row>
    <row r="220" spans="1:32" x14ac:dyDescent="0.25">
      <c r="A220" s="59">
        <v>45678</v>
      </c>
      <c r="B220" s="2">
        <v>1206</v>
      </c>
      <c r="C220" s="19" t="s">
        <v>401</v>
      </c>
      <c r="D220" s="19" t="s">
        <v>2</v>
      </c>
      <c r="E220" s="19" t="s">
        <v>2</v>
      </c>
      <c r="F220" s="19" t="s">
        <v>245</v>
      </c>
      <c r="G220" s="19" t="s">
        <v>107</v>
      </c>
      <c r="H220" s="19" t="s">
        <v>246</v>
      </c>
      <c r="I220" s="19" t="s">
        <v>802</v>
      </c>
      <c r="J220" s="2" t="s">
        <v>2</v>
      </c>
      <c r="K220" s="20">
        <v>45679</v>
      </c>
      <c r="L220" s="20">
        <v>45680</v>
      </c>
      <c r="M220" s="22">
        <v>200</v>
      </c>
      <c r="N220" s="21">
        <v>213400</v>
      </c>
      <c r="O220" s="2" t="s">
        <v>76</v>
      </c>
      <c r="P220" s="2" t="s">
        <v>4</v>
      </c>
      <c r="Q220" s="2" t="s">
        <v>5</v>
      </c>
      <c r="R220" s="21">
        <f t="shared" si="27"/>
        <v>213400</v>
      </c>
      <c r="S220" s="21">
        <v>213400</v>
      </c>
      <c r="T220" s="5">
        <f t="shared" si="28"/>
        <v>15000</v>
      </c>
      <c r="U220">
        <f t="shared" si="29"/>
        <v>1</v>
      </c>
      <c r="V220">
        <f t="shared" si="30"/>
        <v>1</v>
      </c>
      <c r="W220" s="5">
        <f t="shared" si="31"/>
        <v>0</v>
      </c>
      <c r="X220" s="2" t="s">
        <v>6</v>
      </c>
      <c r="Y220" s="2" t="s">
        <v>2</v>
      </c>
      <c r="Z220">
        <v>810</v>
      </c>
      <c r="AA220" t="s">
        <v>1584</v>
      </c>
      <c r="AC220">
        <f t="shared" si="32"/>
        <v>2025</v>
      </c>
      <c r="AD220">
        <f t="shared" si="33"/>
        <v>2025</v>
      </c>
      <c r="AE220">
        <f t="shared" si="34"/>
        <v>2025</v>
      </c>
      <c r="AF220">
        <f t="shared" si="35"/>
        <v>1</v>
      </c>
    </row>
    <row r="221" spans="1:32" x14ac:dyDescent="0.25">
      <c r="A221" s="59">
        <v>45680.125</v>
      </c>
      <c r="B221" s="2">
        <v>1207</v>
      </c>
      <c r="C221" s="19" t="s">
        <v>297</v>
      </c>
      <c r="D221" s="19" t="s">
        <v>2</v>
      </c>
      <c r="E221" s="19" t="s">
        <v>2</v>
      </c>
      <c r="F221" s="19" t="s">
        <v>803</v>
      </c>
      <c r="G221" s="19" t="s">
        <v>0</v>
      </c>
      <c r="H221" s="19" t="s">
        <v>804</v>
      </c>
      <c r="I221" s="19" t="s">
        <v>805</v>
      </c>
      <c r="J221" s="2" t="s">
        <v>2</v>
      </c>
      <c r="K221" s="20">
        <v>45693.125</v>
      </c>
      <c r="L221" s="20">
        <v>45693.125</v>
      </c>
      <c r="M221" s="22">
        <v>40</v>
      </c>
      <c r="N221" s="21">
        <v>40000</v>
      </c>
      <c r="O221" s="2" t="s">
        <v>76</v>
      </c>
      <c r="P221" s="2" t="s">
        <v>4</v>
      </c>
      <c r="Q221" s="2" t="s">
        <v>5</v>
      </c>
      <c r="R221" s="21">
        <f t="shared" si="27"/>
        <v>40000</v>
      </c>
      <c r="S221" s="21">
        <v>40000</v>
      </c>
      <c r="T221" s="5">
        <f t="shared" si="28"/>
        <v>15000</v>
      </c>
      <c r="U221">
        <f t="shared" si="29"/>
        <v>2</v>
      </c>
      <c r="V221">
        <f t="shared" si="30"/>
        <v>1</v>
      </c>
      <c r="W221" s="5">
        <f t="shared" si="31"/>
        <v>0</v>
      </c>
      <c r="X221" s="2" t="s">
        <v>6</v>
      </c>
      <c r="Y221" s="2" t="s">
        <v>2</v>
      </c>
      <c r="AC221">
        <f t="shared" si="32"/>
        <v>2025</v>
      </c>
      <c r="AD221">
        <f t="shared" si="33"/>
        <v>2025</v>
      </c>
      <c r="AE221">
        <f t="shared" si="34"/>
        <v>2025</v>
      </c>
      <c r="AF221">
        <f t="shared" si="35"/>
        <v>2</v>
      </c>
    </row>
    <row r="222" spans="1:32" x14ac:dyDescent="0.25">
      <c r="A222" s="59">
        <v>45681.125</v>
      </c>
      <c r="B222" s="2">
        <v>1208</v>
      </c>
      <c r="C222" s="19" t="s">
        <v>1</v>
      </c>
      <c r="D222" s="19" t="s">
        <v>2</v>
      </c>
      <c r="E222" s="19" t="s">
        <v>2</v>
      </c>
      <c r="F222" s="19" t="s">
        <v>806</v>
      </c>
      <c r="G222" s="19" t="s">
        <v>137</v>
      </c>
      <c r="H222" s="19" t="s">
        <v>138</v>
      </c>
      <c r="I222" s="19" t="s">
        <v>807</v>
      </c>
      <c r="J222" s="2" t="s">
        <v>2</v>
      </c>
      <c r="K222" s="20">
        <v>45681.125</v>
      </c>
      <c r="L222" s="20">
        <v>45681.125</v>
      </c>
      <c r="M222" s="22">
        <v>140</v>
      </c>
      <c r="N222" s="21">
        <v>149660</v>
      </c>
      <c r="O222" s="2" t="s">
        <v>76</v>
      </c>
      <c r="P222" s="2" t="s">
        <v>4</v>
      </c>
      <c r="Q222" s="2" t="s">
        <v>5</v>
      </c>
      <c r="R222" s="21">
        <f t="shared" si="27"/>
        <v>149660</v>
      </c>
      <c r="S222" s="21">
        <v>149660</v>
      </c>
      <c r="T222" s="5">
        <f t="shared" si="28"/>
        <v>15000</v>
      </c>
      <c r="U222">
        <f t="shared" si="29"/>
        <v>1</v>
      </c>
      <c r="V222">
        <f t="shared" si="30"/>
        <v>1</v>
      </c>
      <c r="W222" s="5">
        <f t="shared" si="31"/>
        <v>0</v>
      </c>
      <c r="X222" s="2" t="s">
        <v>6</v>
      </c>
      <c r="Y222" s="2" t="s">
        <v>2</v>
      </c>
      <c r="Z222">
        <v>813</v>
      </c>
      <c r="AA222" t="s">
        <v>1585</v>
      </c>
      <c r="AC222">
        <f t="shared" si="32"/>
        <v>2025</v>
      </c>
      <c r="AD222">
        <f t="shared" si="33"/>
        <v>2025</v>
      </c>
      <c r="AE222">
        <f t="shared" si="34"/>
        <v>2025</v>
      </c>
      <c r="AF222">
        <f t="shared" si="35"/>
        <v>1</v>
      </c>
    </row>
    <row r="223" spans="1:32" x14ac:dyDescent="0.25">
      <c r="A223" s="59">
        <v>45681</v>
      </c>
      <c r="B223" s="2">
        <v>1209</v>
      </c>
      <c r="C223" s="19" t="s">
        <v>799</v>
      </c>
      <c r="D223" s="19" t="s">
        <v>2</v>
      </c>
      <c r="E223" s="19" t="s">
        <v>2</v>
      </c>
      <c r="F223" s="19" t="s">
        <v>591</v>
      </c>
      <c r="G223" s="19" t="s">
        <v>351</v>
      </c>
      <c r="H223" s="19" t="s">
        <v>430</v>
      </c>
      <c r="I223" s="19" t="s">
        <v>808</v>
      </c>
      <c r="J223" s="2" t="s">
        <v>2</v>
      </c>
      <c r="K223" s="20">
        <v>45681</v>
      </c>
      <c r="L223" s="20">
        <v>45681</v>
      </c>
      <c r="M223" s="22">
        <v>160</v>
      </c>
      <c r="N223" s="21">
        <v>187000</v>
      </c>
      <c r="O223" s="2" t="s">
        <v>76</v>
      </c>
      <c r="P223" s="2" t="s">
        <v>4</v>
      </c>
      <c r="Q223" s="2" t="s">
        <v>5</v>
      </c>
      <c r="R223" s="21">
        <f t="shared" si="27"/>
        <v>187000</v>
      </c>
      <c r="S223" s="21">
        <v>187000</v>
      </c>
      <c r="T223" s="5">
        <f t="shared" si="28"/>
        <v>15000</v>
      </c>
      <c r="U223">
        <f t="shared" si="29"/>
        <v>1</v>
      </c>
      <c r="V223">
        <f t="shared" si="30"/>
        <v>1</v>
      </c>
      <c r="W223" s="5">
        <f t="shared" si="31"/>
        <v>0</v>
      </c>
      <c r="X223" s="2" t="s">
        <v>6</v>
      </c>
      <c r="Y223" s="2" t="s">
        <v>2</v>
      </c>
      <c r="Z223">
        <v>811</v>
      </c>
      <c r="AA223" t="s">
        <v>1586</v>
      </c>
      <c r="AC223">
        <f t="shared" si="32"/>
        <v>2025</v>
      </c>
      <c r="AD223">
        <f t="shared" si="33"/>
        <v>2025</v>
      </c>
      <c r="AE223">
        <f t="shared" si="34"/>
        <v>2025</v>
      </c>
      <c r="AF223">
        <f t="shared" si="35"/>
        <v>1</v>
      </c>
    </row>
    <row r="224" spans="1:32" x14ac:dyDescent="0.25">
      <c r="A224" s="59">
        <v>45681</v>
      </c>
      <c r="B224" s="2">
        <v>1210</v>
      </c>
      <c r="C224" s="19" t="s">
        <v>372</v>
      </c>
      <c r="D224" s="19" t="s">
        <v>2</v>
      </c>
      <c r="E224" s="19" t="s">
        <v>2</v>
      </c>
      <c r="F224" s="19" t="s">
        <v>272</v>
      </c>
      <c r="G224" s="19" t="s">
        <v>351</v>
      </c>
      <c r="H224" s="19" t="s">
        <v>634</v>
      </c>
      <c r="I224" s="19" t="s">
        <v>809</v>
      </c>
      <c r="J224" s="2" t="s">
        <v>2</v>
      </c>
      <c r="K224" s="20">
        <v>45681</v>
      </c>
      <c r="L224" s="20">
        <v>45681</v>
      </c>
      <c r="M224" s="22">
        <v>180</v>
      </c>
      <c r="N224" s="21">
        <v>192420</v>
      </c>
      <c r="O224" s="2" t="s">
        <v>76</v>
      </c>
      <c r="P224" s="2" t="s">
        <v>4</v>
      </c>
      <c r="Q224" s="2" t="s">
        <v>5</v>
      </c>
      <c r="R224" s="21">
        <f t="shared" si="27"/>
        <v>192420</v>
      </c>
      <c r="S224" s="21">
        <v>192420</v>
      </c>
      <c r="T224" s="5">
        <f t="shared" si="28"/>
        <v>15000</v>
      </c>
      <c r="U224">
        <f t="shared" si="29"/>
        <v>1</v>
      </c>
      <c r="V224">
        <f t="shared" si="30"/>
        <v>1</v>
      </c>
      <c r="W224" s="5">
        <f t="shared" si="31"/>
        <v>0</v>
      </c>
      <c r="X224" s="2" t="s">
        <v>6</v>
      </c>
      <c r="Y224" s="2" t="s">
        <v>2</v>
      </c>
      <c r="Z224">
        <v>812</v>
      </c>
      <c r="AA224" t="s">
        <v>1587</v>
      </c>
      <c r="AC224">
        <f t="shared" si="32"/>
        <v>2025</v>
      </c>
      <c r="AD224">
        <f t="shared" si="33"/>
        <v>2025</v>
      </c>
      <c r="AE224">
        <f t="shared" si="34"/>
        <v>2025</v>
      </c>
      <c r="AF224">
        <f t="shared" si="35"/>
        <v>1</v>
      </c>
    </row>
    <row r="225" spans="1:32" x14ac:dyDescent="0.25">
      <c r="A225" s="59">
        <v>45684.125</v>
      </c>
      <c r="B225" s="2">
        <v>1211</v>
      </c>
      <c r="C225" s="19" t="s">
        <v>0</v>
      </c>
      <c r="D225" s="19" t="s">
        <v>111</v>
      </c>
      <c r="E225" s="19" t="s">
        <v>810</v>
      </c>
      <c r="F225" s="19" t="s">
        <v>811</v>
      </c>
      <c r="G225" s="19" t="s">
        <v>812</v>
      </c>
      <c r="H225" s="19" t="s">
        <v>813</v>
      </c>
      <c r="I225" s="19" t="s">
        <v>814</v>
      </c>
      <c r="J225" s="2" t="s">
        <v>815</v>
      </c>
      <c r="K225" s="20">
        <v>45688.125</v>
      </c>
      <c r="L225" s="20">
        <v>45695.125</v>
      </c>
      <c r="M225" s="22">
        <v>1230</v>
      </c>
      <c r="N225" s="21">
        <v>1299780</v>
      </c>
      <c r="O225" s="2" t="s">
        <v>76</v>
      </c>
      <c r="P225" s="2" t="s">
        <v>4</v>
      </c>
      <c r="Q225" s="2" t="s">
        <v>5</v>
      </c>
      <c r="R225" s="21">
        <f t="shared" si="27"/>
        <v>1299780</v>
      </c>
      <c r="S225" s="21">
        <v>1299780</v>
      </c>
      <c r="T225" s="5">
        <f t="shared" si="28"/>
        <v>15000</v>
      </c>
      <c r="U225">
        <f t="shared" si="29"/>
        <v>1</v>
      </c>
      <c r="V225">
        <f t="shared" si="30"/>
        <v>1</v>
      </c>
      <c r="W225" s="5">
        <f t="shared" si="31"/>
        <v>0</v>
      </c>
      <c r="X225" s="2" t="s">
        <v>6</v>
      </c>
      <c r="Y225" s="2" t="s">
        <v>2</v>
      </c>
      <c r="AA225" t="s">
        <v>1588</v>
      </c>
      <c r="AC225">
        <f t="shared" si="32"/>
        <v>2025</v>
      </c>
      <c r="AD225">
        <f t="shared" si="33"/>
        <v>2025</v>
      </c>
      <c r="AE225">
        <f t="shared" si="34"/>
        <v>2025</v>
      </c>
      <c r="AF225">
        <f t="shared" si="35"/>
        <v>2</v>
      </c>
    </row>
    <row r="226" spans="1:32" x14ac:dyDescent="0.25">
      <c r="A226" s="59">
        <v>45684</v>
      </c>
      <c r="B226" s="2">
        <v>1212</v>
      </c>
      <c r="C226" s="19" t="s">
        <v>816</v>
      </c>
      <c r="D226" s="19" t="s">
        <v>2</v>
      </c>
      <c r="E226" s="19" t="s">
        <v>2</v>
      </c>
      <c r="F226" s="19" t="s">
        <v>817</v>
      </c>
      <c r="G226" s="19" t="s">
        <v>818</v>
      </c>
      <c r="H226" s="19" t="s">
        <v>819</v>
      </c>
      <c r="I226" s="19" t="s">
        <v>820</v>
      </c>
      <c r="J226" s="2" t="s">
        <v>2</v>
      </c>
      <c r="K226" s="20">
        <v>45684</v>
      </c>
      <c r="L226" s="20">
        <v>45684</v>
      </c>
      <c r="M226" s="22">
        <v>60</v>
      </c>
      <c r="N226" s="21">
        <v>64000</v>
      </c>
      <c r="O226" s="2" t="s">
        <v>76</v>
      </c>
      <c r="P226" s="2" t="s">
        <v>4</v>
      </c>
      <c r="Q226" s="2" t="s">
        <v>5</v>
      </c>
      <c r="R226" s="21">
        <f t="shared" si="27"/>
        <v>64000</v>
      </c>
      <c r="S226" s="21">
        <v>64000</v>
      </c>
      <c r="T226" s="5">
        <f t="shared" si="28"/>
        <v>15000</v>
      </c>
      <c r="U226">
        <f t="shared" si="29"/>
        <v>1</v>
      </c>
      <c r="V226">
        <f t="shared" si="30"/>
        <v>1</v>
      </c>
      <c r="W226" s="5">
        <f t="shared" si="31"/>
        <v>0</v>
      </c>
      <c r="X226" s="2" t="s">
        <v>6</v>
      </c>
      <c r="Y226" s="2" t="s">
        <v>2</v>
      </c>
      <c r="Z226">
        <v>814</v>
      </c>
      <c r="AC226">
        <f t="shared" si="32"/>
        <v>2025</v>
      </c>
      <c r="AD226">
        <f t="shared" si="33"/>
        <v>2025</v>
      </c>
      <c r="AE226">
        <f t="shared" si="34"/>
        <v>2025</v>
      </c>
      <c r="AF226">
        <f t="shared" si="35"/>
        <v>1</v>
      </c>
    </row>
    <row r="227" spans="1:32" x14ac:dyDescent="0.25">
      <c r="A227" s="59">
        <v>45684.125</v>
      </c>
      <c r="B227" s="2">
        <v>1213</v>
      </c>
      <c r="C227" s="19" t="s">
        <v>98</v>
      </c>
      <c r="D227" s="19" t="s">
        <v>2</v>
      </c>
      <c r="E227" s="19" t="s">
        <v>2</v>
      </c>
      <c r="F227" s="19" t="s">
        <v>616</v>
      </c>
      <c r="G227" s="19" t="s">
        <v>607</v>
      </c>
      <c r="H227" s="19" t="s">
        <v>617</v>
      </c>
      <c r="I227" s="19" t="s">
        <v>618</v>
      </c>
      <c r="J227" s="2" t="s">
        <v>2</v>
      </c>
      <c r="K227" s="20">
        <v>45763.125</v>
      </c>
      <c r="L227" s="20">
        <v>45691.125</v>
      </c>
      <c r="M227" s="22">
        <v>1000</v>
      </c>
      <c r="N227" s="21">
        <v>1080000</v>
      </c>
      <c r="O227" s="2" t="s">
        <v>76</v>
      </c>
      <c r="P227" s="2" t="s">
        <v>4</v>
      </c>
      <c r="Q227" s="2" t="s">
        <v>5</v>
      </c>
      <c r="R227" s="21">
        <f t="shared" si="27"/>
        <v>1080000</v>
      </c>
      <c r="S227" s="21">
        <v>1080000</v>
      </c>
      <c r="T227" s="5">
        <f t="shared" si="28"/>
        <v>15000</v>
      </c>
      <c r="U227">
        <f t="shared" si="29"/>
        <v>4</v>
      </c>
      <c r="V227">
        <f t="shared" si="30"/>
        <v>1</v>
      </c>
      <c r="W227" s="5">
        <f t="shared" si="31"/>
        <v>0</v>
      </c>
      <c r="X227" s="2" t="s">
        <v>6</v>
      </c>
      <c r="Y227" s="2" t="s">
        <v>2</v>
      </c>
      <c r="Z227">
        <v>832</v>
      </c>
      <c r="AA227" t="s">
        <v>1589</v>
      </c>
      <c r="AC227">
        <f t="shared" si="32"/>
        <v>2025</v>
      </c>
      <c r="AD227">
        <f t="shared" si="33"/>
        <v>2025</v>
      </c>
      <c r="AE227">
        <f t="shared" si="34"/>
        <v>2025</v>
      </c>
      <c r="AF227">
        <f t="shared" si="35"/>
        <v>2</v>
      </c>
    </row>
    <row r="228" spans="1:32" x14ac:dyDescent="0.25">
      <c r="A228" s="59">
        <v>45685.125</v>
      </c>
      <c r="B228" s="2">
        <v>1214</v>
      </c>
      <c r="C228" s="19" t="s">
        <v>821</v>
      </c>
      <c r="D228" s="19" t="s">
        <v>2</v>
      </c>
      <c r="E228" s="19" t="s">
        <v>2</v>
      </c>
      <c r="F228" s="19" t="s">
        <v>822</v>
      </c>
      <c r="G228" s="19" t="s">
        <v>823</v>
      </c>
      <c r="H228" s="19" t="s">
        <v>824</v>
      </c>
      <c r="I228" s="19" t="s">
        <v>825</v>
      </c>
      <c r="J228" s="2" t="s">
        <v>2</v>
      </c>
      <c r="K228" s="20">
        <v>45694.125</v>
      </c>
      <c r="L228" s="20">
        <v>45685.125</v>
      </c>
      <c r="M228" s="22">
        <v>220</v>
      </c>
      <c r="N228" s="21">
        <v>236500</v>
      </c>
      <c r="O228" s="2" t="s">
        <v>76</v>
      </c>
      <c r="P228" s="2" t="s">
        <v>4</v>
      </c>
      <c r="Q228" s="2" t="s">
        <v>5</v>
      </c>
      <c r="R228" s="21">
        <f t="shared" si="27"/>
        <v>236500</v>
      </c>
      <c r="S228" s="21">
        <v>236500</v>
      </c>
      <c r="T228" s="5">
        <f t="shared" si="28"/>
        <v>15000</v>
      </c>
      <c r="U228">
        <f t="shared" si="29"/>
        <v>2</v>
      </c>
      <c r="V228">
        <f t="shared" si="30"/>
        <v>1</v>
      </c>
      <c r="W228" s="5">
        <f t="shared" si="31"/>
        <v>0</v>
      </c>
      <c r="X228" s="2" t="s">
        <v>6</v>
      </c>
      <c r="Y228" s="2" t="s">
        <v>2</v>
      </c>
      <c r="Z228">
        <v>815</v>
      </c>
      <c r="AA228" t="s">
        <v>1590</v>
      </c>
      <c r="AC228">
        <f t="shared" si="32"/>
        <v>2025</v>
      </c>
      <c r="AD228">
        <f t="shared" si="33"/>
        <v>2025</v>
      </c>
      <c r="AE228">
        <f t="shared" si="34"/>
        <v>2025</v>
      </c>
      <c r="AF228">
        <f t="shared" si="35"/>
        <v>1</v>
      </c>
    </row>
    <row r="229" spans="1:32" x14ac:dyDescent="0.25">
      <c r="A229" s="59">
        <v>45685</v>
      </c>
      <c r="B229" s="2">
        <v>1215</v>
      </c>
      <c r="C229" s="19" t="s">
        <v>821</v>
      </c>
      <c r="D229" s="19" t="s">
        <v>2</v>
      </c>
      <c r="E229" s="19" t="s">
        <v>2</v>
      </c>
      <c r="F229" s="19" t="s">
        <v>384</v>
      </c>
      <c r="G229" s="19" t="s">
        <v>826</v>
      </c>
      <c r="H229" s="19" t="s">
        <v>827</v>
      </c>
      <c r="I229" s="19" t="s">
        <v>828</v>
      </c>
      <c r="J229" s="2" t="s">
        <v>2</v>
      </c>
      <c r="K229" s="20">
        <v>45691</v>
      </c>
      <c r="L229" s="20">
        <v>45685</v>
      </c>
      <c r="M229" s="22">
        <v>75</v>
      </c>
      <c r="N229" s="21">
        <v>80500</v>
      </c>
      <c r="O229" s="2" t="s">
        <v>76</v>
      </c>
      <c r="P229" s="2" t="s">
        <v>4</v>
      </c>
      <c r="Q229" s="2" t="s">
        <v>5</v>
      </c>
      <c r="R229" s="21">
        <f t="shared" si="27"/>
        <v>80500</v>
      </c>
      <c r="S229" s="21">
        <v>80500</v>
      </c>
      <c r="T229" s="5">
        <f t="shared" si="28"/>
        <v>15000</v>
      </c>
      <c r="U229">
        <f t="shared" si="29"/>
        <v>2</v>
      </c>
      <c r="V229">
        <f t="shared" si="30"/>
        <v>1</v>
      </c>
      <c r="W229" s="5">
        <f t="shared" si="31"/>
        <v>0</v>
      </c>
      <c r="X229" s="2" t="s">
        <v>6</v>
      </c>
      <c r="Y229" s="2" t="s">
        <v>2</v>
      </c>
      <c r="Z229">
        <v>815</v>
      </c>
      <c r="AA229" t="s">
        <v>1590</v>
      </c>
      <c r="AC229">
        <f t="shared" si="32"/>
        <v>2025</v>
      </c>
      <c r="AD229">
        <f t="shared" si="33"/>
        <v>2025</v>
      </c>
      <c r="AE229">
        <f t="shared" si="34"/>
        <v>2025</v>
      </c>
      <c r="AF229">
        <f t="shared" si="35"/>
        <v>1</v>
      </c>
    </row>
    <row r="230" spans="1:32" x14ac:dyDescent="0.25">
      <c r="A230" s="59">
        <v>45685.125</v>
      </c>
      <c r="B230" s="2">
        <v>1216</v>
      </c>
      <c r="C230" s="19" t="s">
        <v>401</v>
      </c>
      <c r="D230" s="19" t="s">
        <v>2</v>
      </c>
      <c r="E230" s="19" t="s">
        <v>2</v>
      </c>
      <c r="F230" s="19" t="s">
        <v>829</v>
      </c>
      <c r="G230" s="19" t="s">
        <v>830</v>
      </c>
      <c r="H230" s="19" t="s">
        <v>831</v>
      </c>
      <c r="I230" s="19" t="s">
        <v>832</v>
      </c>
      <c r="J230" s="2" t="s">
        <v>2</v>
      </c>
      <c r="K230" s="20">
        <v>45698.125</v>
      </c>
      <c r="L230" s="20">
        <v>45698.125</v>
      </c>
      <c r="M230" s="22">
        <v>900</v>
      </c>
      <c r="N230" s="21">
        <v>972000</v>
      </c>
      <c r="O230" s="2" t="s">
        <v>76</v>
      </c>
      <c r="P230" s="2" t="s">
        <v>145</v>
      </c>
      <c r="Q230" s="2" t="s">
        <v>146</v>
      </c>
      <c r="R230" s="21">
        <f t="shared" si="27"/>
        <v>0</v>
      </c>
      <c r="S230" s="21">
        <v>0</v>
      </c>
      <c r="T230" s="5">
        <f t="shared" si="28"/>
        <v>15000</v>
      </c>
      <c r="U230">
        <f t="shared" si="29"/>
        <v>2</v>
      </c>
      <c r="V230">
        <f t="shared" si="30"/>
        <v>1</v>
      </c>
      <c r="W230" s="5">
        <f t="shared" si="31"/>
        <v>0</v>
      </c>
      <c r="X230" s="2" t="s">
        <v>6</v>
      </c>
      <c r="Y230" s="2" t="s">
        <v>2</v>
      </c>
      <c r="AC230">
        <f t="shared" si="32"/>
        <v>2025</v>
      </c>
      <c r="AD230">
        <f t="shared" si="33"/>
        <v>2025</v>
      </c>
      <c r="AE230">
        <f t="shared" si="34"/>
        <v>2025</v>
      </c>
      <c r="AF230">
        <f t="shared" si="35"/>
        <v>2</v>
      </c>
    </row>
    <row r="231" spans="1:32" x14ac:dyDescent="0.25">
      <c r="A231" s="59">
        <v>45688</v>
      </c>
      <c r="B231" s="2">
        <v>1217</v>
      </c>
      <c r="C231" s="19" t="s">
        <v>367</v>
      </c>
      <c r="D231" s="19" t="s">
        <v>2</v>
      </c>
      <c r="E231" s="19" t="s">
        <v>2</v>
      </c>
      <c r="F231" s="19" t="s">
        <v>833</v>
      </c>
      <c r="G231" s="19" t="s">
        <v>107</v>
      </c>
      <c r="H231" s="19" t="s">
        <v>834</v>
      </c>
      <c r="I231" s="19" t="s">
        <v>835</v>
      </c>
      <c r="J231" s="2" t="s">
        <v>2</v>
      </c>
      <c r="K231" s="20">
        <v>45691</v>
      </c>
      <c r="L231" s="20">
        <v>45691</v>
      </c>
      <c r="M231" s="22">
        <v>400</v>
      </c>
      <c r="N231" s="21">
        <v>432000</v>
      </c>
      <c r="O231" s="2" t="s">
        <v>3</v>
      </c>
      <c r="P231" s="2" t="s">
        <v>145</v>
      </c>
      <c r="Q231" s="2" t="s">
        <v>146</v>
      </c>
      <c r="R231" s="21">
        <f t="shared" si="27"/>
        <v>0</v>
      </c>
      <c r="S231" s="21">
        <v>0</v>
      </c>
      <c r="T231" s="5">
        <f t="shared" si="28"/>
        <v>15000</v>
      </c>
      <c r="U231">
        <f t="shared" si="29"/>
        <v>2</v>
      </c>
      <c r="V231">
        <f t="shared" si="30"/>
        <v>1</v>
      </c>
      <c r="W231" s="5">
        <f t="shared" si="31"/>
        <v>0</v>
      </c>
      <c r="X231" s="2" t="s">
        <v>6</v>
      </c>
      <c r="Y231" s="2" t="s">
        <v>2</v>
      </c>
      <c r="AC231">
        <f t="shared" si="32"/>
        <v>2025</v>
      </c>
      <c r="AD231">
        <f t="shared" si="33"/>
        <v>2025</v>
      </c>
      <c r="AE231">
        <f t="shared" si="34"/>
        <v>2025</v>
      </c>
      <c r="AF231">
        <f t="shared" si="35"/>
        <v>2</v>
      </c>
    </row>
    <row r="232" spans="1:32" x14ac:dyDescent="0.25">
      <c r="A232" s="59">
        <v>45693</v>
      </c>
      <c r="B232" s="2">
        <v>1218</v>
      </c>
      <c r="C232" s="19" t="s">
        <v>161</v>
      </c>
      <c r="D232" s="19" t="s">
        <v>2</v>
      </c>
      <c r="E232" s="19" t="s">
        <v>2</v>
      </c>
      <c r="F232" s="19" t="s">
        <v>836</v>
      </c>
      <c r="G232" s="19" t="s">
        <v>284</v>
      </c>
      <c r="H232" s="19" t="s">
        <v>285</v>
      </c>
      <c r="I232" s="19" t="s">
        <v>837</v>
      </c>
      <c r="J232" s="2" t="s">
        <v>2</v>
      </c>
      <c r="K232" s="20">
        <v>45693</v>
      </c>
      <c r="L232" s="20">
        <v>45693</v>
      </c>
      <c r="M232" s="22">
        <v>35</v>
      </c>
      <c r="N232" s="21">
        <v>35000</v>
      </c>
      <c r="O232" s="2" t="s">
        <v>76</v>
      </c>
      <c r="P232" s="2" t="s">
        <v>4</v>
      </c>
      <c r="Q232" s="2" t="s">
        <v>5</v>
      </c>
      <c r="R232" s="21">
        <f t="shared" si="27"/>
        <v>35000</v>
      </c>
      <c r="S232" s="21">
        <v>35000</v>
      </c>
      <c r="T232" s="5">
        <f t="shared" si="28"/>
        <v>15000</v>
      </c>
      <c r="U232">
        <f t="shared" si="29"/>
        <v>2</v>
      </c>
      <c r="V232">
        <f t="shared" si="30"/>
        <v>2</v>
      </c>
      <c r="W232" s="5">
        <f t="shared" si="31"/>
        <v>0</v>
      </c>
      <c r="X232" s="2" t="s">
        <v>6</v>
      </c>
      <c r="Y232" s="2" t="s">
        <v>2</v>
      </c>
      <c r="AC232">
        <f t="shared" si="32"/>
        <v>2025</v>
      </c>
      <c r="AD232">
        <f t="shared" si="33"/>
        <v>2025</v>
      </c>
      <c r="AE232">
        <f t="shared" si="34"/>
        <v>2025</v>
      </c>
      <c r="AF232">
        <f t="shared" si="35"/>
        <v>2</v>
      </c>
    </row>
    <row r="233" spans="1:32" x14ac:dyDescent="0.25">
      <c r="A233" s="59">
        <v>45693.125</v>
      </c>
      <c r="B233" s="2">
        <v>1219</v>
      </c>
      <c r="C233" s="19" t="s">
        <v>1732</v>
      </c>
      <c r="D233" s="19" t="s">
        <v>2</v>
      </c>
      <c r="E233" s="19" t="s">
        <v>2</v>
      </c>
      <c r="F233" s="19" t="s">
        <v>838</v>
      </c>
      <c r="G233" s="19" t="s">
        <v>215</v>
      </c>
      <c r="H233" s="19" t="s">
        <v>216</v>
      </c>
      <c r="I233" s="19" t="s">
        <v>839</v>
      </c>
      <c r="J233" s="2" t="s">
        <v>2</v>
      </c>
      <c r="K233" s="20">
        <v>45693.125</v>
      </c>
      <c r="L233" s="20">
        <v>45735.125</v>
      </c>
      <c r="M233" s="22">
        <v>70</v>
      </c>
      <c r="N233" s="21">
        <v>72000</v>
      </c>
      <c r="O233" s="2" t="s">
        <v>76</v>
      </c>
      <c r="P233" s="2" t="s">
        <v>4</v>
      </c>
      <c r="Q233" s="2" t="s">
        <v>5</v>
      </c>
      <c r="R233" s="21">
        <f t="shared" si="27"/>
        <v>72000</v>
      </c>
      <c r="S233" s="21">
        <v>72000</v>
      </c>
      <c r="T233" s="5">
        <f t="shared" si="28"/>
        <v>15000</v>
      </c>
      <c r="U233">
        <f t="shared" si="29"/>
        <v>2</v>
      </c>
      <c r="V233">
        <f t="shared" si="30"/>
        <v>2</v>
      </c>
      <c r="W233" s="5">
        <f t="shared" si="31"/>
        <v>0</v>
      </c>
      <c r="X233" s="2" t="s">
        <v>6</v>
      </c>
      <c r="Y233" s="2" t="s">
        <v>2</v>
      </c>
      <c r="AC233">
        <f t="shared" si="32"/>
        <v>2025</v>
      </c>
      <c r="AD233">
        <f t="shared" si="33"/>
        <v>2025</v>
      </c>
      <c r="AE233">
        <f t="shared" si="34"/>
        <v>2025</v>
      </c>
      <c r="AF233">
        <f t="shared" si="35"/>
        <v>3</v>
      </c>
    </row>
    <row r="234" spans="1:32" x14ac:dyDescent="0.25">
      <c r="A234" s="59">
        <v>45699.125</v>
      </c>
      <c r="B234" s="2">
        <v>1220</v>
      </c>
      <c r="C234" s="19" t="s">
        <v>1304</v>
      </c>
      <c r="D234" s="19" t="s">
        <v>2</v>
      </c>
      <c r="E234" s="19" t="s">
        <v>2</v>
      </c>
      <c r="F234" s="19" t="s">
        <v>840</v>
      </c>
      <c r="G234" s="19" t="s">
        <v>317</v>
      </c>
      <c r="H234" s="19" t="s">
        <v>318</v>
      </c>
      <c r="I234" s="19" t="s">
        <v>841</v>
      </c>
      <c r="J234" s="2" t="s">
        <v>2</v>
      </c>
      <c r="K234" s="20">
        <v>45699.125</v>
      </c>
      <c r="L234" s="20">
        <v>45700.125</v>
      </c>
      <c r="M234" s="22">
        <v>70</v>
      </c>
      <c r="N234" s="21">
        <v>75500</v>
      </c>
      <c r="O234" s="2" t="s">
        <v>76</v>
      </c>
      <c r="P234" s="2" t="s">
        <v>4</v>
      </c>
      <c r="Q234" s="2" t="s">
        <v>5</v>
      </c>
      <c r="R234" s="21">
        <f t="shared" si="27"/>
        <v>75500</v>
      </c>
      <c r="S234" s="21">
        <v>75500</v>
      </c>
      <c r="T234" s="5">
        <f t="shared" si="28"/>
        <v>15000</v>
      </c>
      <c r="U234">
        <f t="shared" si="29"/>
        <v>2</v>
      </c>
      <c r="V234">
        <f t="shared" si="30"/>
        <v>2</v>
      </c>
      <c r="W234" s="5">
        <f t="shared" si="31"/>
        <v>0</v>
      </c>
      <c r="X234" s="2" t="s">
        <v>6</v>
      </c>
      <c r="Y234" s="2" t="s">
        <v>2</v>
      </c>
      <c r="Z234">
        <v>816</v>
      </c>
      <c r="AC234">
        <f t="shared" si="32"/>
        <v>2025</v>
      </c>
      <c r="AD234">
        <f t="shared" si="33"/>
        <v>2025</v>
      </c>
      <c r="AE234">
        <f t="shared" si="34"/>
        <v>2025</v>
      </c>
      <c r="AF234">
        <f t="shared" si="35"/>
        <v>2</v>
      </c>
    </row>
    <row r="235" spans="1:32" x14ac:dyDescent="0.25">
      <c r="A235" s="59">
        <v>45699.125</v>
      </c>
      <c r="B235" s="2">
        <v>1221</v>
      </c>
      <c r="C235" s="19" t="s">
        <v>1304</v>
      </c>
      <c r="D235" s="19" t="s">
        <v>2</v>
      </c>
      <c r="E235" s="19" t="s">
        <v>2</v>
      </c>
      <c r="F235" s="19" t="s">
        <v>840</v>
      </c>
      <c r="G235" s="19" t="s">
        <v>317</v>
      </c>
      <c r="H235" s="19" t="s">
        <v>318</v>
      </c>
      <c r="I235" s="19" t="s">
        <v>842</v>
      </c>
      <c r="J235" s="2" t="s">
        <v>2</v>
      </c>
      <c r="K235" s="20">
        <v>45699.125</v>
      </c>
      <c r="L235" s="20">
        <v>45700.125</v>
      </c>
      <c r="M235" s="22">
        <v>70</v>
      </c>
      <c r="N235" s="21">
        <v>75500</v>
      </c>
      <c r="O235" s="2" t="s">
        <v>76</v>
      </c>
      <c r="P235" s="2" t="s">
        <v>4</v>
      </c>
      <c r="Q235" s="2" t="s">
        <v>5</v>
      </c>
      <c r="R235" s="21">
        <f t="shared" si="27"/>
        <v>75500</v>
      </c>
      <c r="S235" s="21">
        <v>75500</v>
      </c>
      <c r="T235" s="5">
        <f t="shared" si="28"/>
        <v>15000</v>
      </c>
      <c r="U235">
        <f t="shared" si="29"/>
        <v>2</v>
      </c>
      <c r="V235">
        <f t="shared" si="30"/>
        <v>2</v>
      </c>
      <c r="W235" s="5">
        <f t="shared" si="31"/>
        <v>0</v>
      </c>
      <c r="X235" s="2" t="s">
        <v>6</v>
      </c>
      <c r="Y235" s="2" t="s">
        <v>2</v>
      </c>
      <c r="Z235">
        <v>816</v>
      </c>
      <c r="AC235">
        <f t="shared" si="32"/>
        <v>2025</v>
      </c>
      <c r="AD235">
        <f t="shared" si="33"/>
        <v>2025</v>
      </c>
      <c r="AE235">
        <f t="shared" si="34"/>
        <v>2025</v>
      </c>
      <c r="AF235">
        <f t="shared" si="35"/>
        <v>2</v>
      </c>
    </row>
    <row r="236" spans="1:32" x14ac:dyDescent="0.25">
      <c r="A236" s="59">
        <v>45699.125</v>
      </c>
      <c r="B236" s="2">
        <v>1222</v>
      </c>
      <c r="C236" s="19" t="s">
        <v>1304</v>
      </c>
      <c r="D236" s="19" t="s">
        <v>2</v>
      </c>
      <c r="E236" s="19" t="s">
        <v>2</v>
      </c>
      <c r="F236" s="19" t="s">
        <v>843</v>
      </c>
      <c r="G236" s="19" t="s">
        <v>317</v>
      </c>
      <c r="H236" s="19" t="s">
        <v>318</v>
      </c>
      <c r="I236" s="19" t="s">
        <v>844</v>
      </c>
      <c r="J236" s="2" t="s">
        <v>2</v>
      </c>
      <c r="K236" s="20">
        <v>45699.125</v>
      </c>
      <c r="L236" s="20">
        <v>45700.125</v>
      </c>
      <c r="M236" s="22">
        <v>70</v>
      </c>
      <c r="N236" s="21">
        <v>75500</v>
      </c>
      <c r="O236" s="2" t="s">
        <v>76</v>
      </c>
      <c r="P236" s="2" t="s">
        <v>4</v>
      </c>
      <c r="Q236" s="2" t="s">
        <v>5</v>
      </c>
      <c r="R236" s="21">
        <f t="shared" si="27"/>
        <v>75500</v>
      </c>
      <c r="S236" s="21">
        <v>75500</v>
      </c>
      <c r="T236" s="5">
        <f t="shared" si="28"/>
        <v>15000</v>
      </c>
      <c r="U236">
        <f t="shared" si="29"/>
        <v>2</v>
      </c>
      <c r="V236">
        <f t="shared" si="30"/>
        <v>2</v>
      </c>
      <c r="W236" s="5">
        <f t="shared" si="31"/>
        <v>0</v>
      </c>
      <c r="X236" s="2" t="s">
        <v>6</v>
      </c>
      <c r="Y236" s="2" t="s">
        <v>2</v>
      </c>
      <c r="Z236">
        <v>816</v>
      </c>
      <c r="AC236">
        <f t="shared" si="32"/>
        <v>2025</v>
      </c>
      <c r="AD236">
        <f t="shared" si="33"/>
        <v>2025</v>
      </c>
      <c r="AE236">
        <f t="shared" si="34"/>
        <v>2025</v>
      </c>
      <c r="AF236">
        <f t="shared" si="35"/>
        <v>2</v>
      </c>
    </row>
    <row r="237" spans="1:32" x14ac:dyDescent="0.25">
      <c r="A237" s="59">
        <v>45699.125</v>
      </c>
      <c r="B237" s="2">
        <v>1223</v>
      </c>
      <c r="C237" s="19" t="s">
        <v>1304</v>
      </c>
      <c r="D237" s="19" t="s">
        <v>2</v>
      </c>
      <c r="E237" s="19" t="s">
        <v>2</v>
      </c>
      <c r="F237" s="19" t="s">
        <v>316</v>
      </c>
      <c r="G237" s="19" t="s">
        <v>845</v>
      </c>
      <c r="H237" s="19" t="s">
        <v>846</v>
      </c>
      <c r="I237" s="19" t="s">
        <v>847</v>
      </c>
      <c r="J237" s="2" t="s">
        <v>2</v>
      </c>
      <c r="K237" s="20">
        <v>45699.125</v>
      </c>
      <c r="L237" s="20">
        <v>45700.125</v>
      </c>
      <c r="M237" s="22">
        <v>65</v>
      </c>
      <c r="N237" s="21">
        <v>70000</v>
      </c>
      <c r="O237" s="2" t="s">
        <v>76</v>
      </c>
      <c r="P237" s="2" t="s">
        <v>4</v>
      </c>
      <c r="Q237" s="2" t="s">
        <v>5</v>
      </c>
      <c r="R237" s="21">
        <f t="shared" si="27"/>
        <v>70000</v>
      </c>
      <c r="S237" s="21">
        <v>70000</v>
      </c>
      <c r="T237" s="5">
        <f t="shared" si="28"/>
        <v>15000</v>
      </c>
      <c r="U237">
        <f t="shared" si="29"/>
        <v>2</v>
      </c>
      <c r="V237">
        <f t="shared" si="30"/>
        <v>2</v>
      </c>
      <c r="W237" s="5">
        <f t="shared" si="31"/>
        <v>0</v>
      </c>
      <c r="X237" s="2" t="s">
        <v>6</v>
      </c>
      <c r="Y237" s="2" t="s">
        <v>2</v>
      </c>
      <c r="Z237">
        <v>816</v>
      </c>
      <c r="AC237">
        <f t="shared" si="32"/>
        <v>2025</v>
      </c>
      <c r="AD237">
        <f t="shared" si="33"/>
        <v>2025</v>
      </c>
      <c r="AE237">
        <f t="shared" si="34"/>
        <v>2025</v>
      </c>
      <c r="AF237">
        <f t="shared" si="35"/>
        <v>2</v>
      </c>
    </row>
    <row r="238" spans="1:32" x14ac:dyDescent="0.25">
      <c r="A238" s="59">
        <v>45699.125</v>
      </c>
      <c r="B238" s="2">
        <v>1224</v>
      </c>
      <c r="C238" s="19" t="s">
        <v>1304</v>
      </c>
      <c r="D238" s="19" t="s">
        <v>2</v>
      </c>
      <c r="E238" s="19" t="s">
        <v>2</v>
      </c>
      <c r="F238" s="19" t="s">
        <v>848</v>
      </c>
      <c r="G238" s="19" t="s">
        <v>317</v>
      </c>
      <c r="H238" s="19" t="s">
        <v>849</v>
      </c>
      <c r="I238" s="19" t="s">
        <v>850</v>
      </c>
      <c r="J238" s="2" t="s">
        <v>2</v>
      </c>
      <c r="K238" s="20">
        <v>45699.125</v>
      </c>
      <c r="L238" s="20">
        <v>45700.125</v>
      </c>
      <c r="M238" s="22">
        <v>50</v>
      </c>
      <c r="N238" s="21">
        <v>54000</v>
      </c>
      <c r="O238" s="2" t="s">
        <v>76</v>
      </c>
      <c r="P238" s="2" t="s">
        <v>4</v>
      </c>
      <c r="Q238" s="2" t="s">
        <v>5</v>
      </c>
      <c r="R238" s="21">
        <f t="shared" si="27"/>
        <v>54000</v>
      </c>
      <c r="S238" s="21">
        <v>54000</v>
      </c>
      <c r="T238" s="5">
        <f t="shared" si="28"/>
        <v>15000</v>
      </c>
      <c r="U238">
        <f t="shared" si="29"/>
        <v>2</v>
      </c>
      <c r="V238">
        <f t="shared" si="30"/>
        <v>2</v>
      </c>
      <c r="W238" s="5">
        <f t="shared" si="31"/>
        <v>0</v>
      </c>
      <c r="X238" s="2" t="s">
        <v>6</v>
      </c>
      <c r="Y238" s="2" t="s">
        <v>2</v>
      </c>
      <c r="Z238">
        <v>817</v>
      </c>
      <c r="AC238">
        <f t="shared" si="32"/>
        <v>2025</v>
      </c>
      <c r="AD238">
        <f t="shared" si="33"/>
        <v>2025</v>
      </c>
      <c r="AE238">
        <f t="shared" si="34"/>
        <v>2025</v>
      </c>
      <c r="AF238">
        <f t="shared" si="35"/>
        <v>2</v>
      </c>
    </row>
    <row r="239" spans="1:32" x14ac:dyDescent="0.25">
      <c r="A239" s="59">
        <v>45699.125</v>
      </c>
      <c r="B239" s="2">
        <v>1225</v>
      </c>
      <c r="C239" s="19" t="s">
        <v>1304</v>
      </c>
      <c r="D239" s="19" t="s">
        <v>2</v>
      </c>
      <c r="E239" s="19" t="s">
        <v>2</v>
      </c>
      <c r="F239" s="19" t="s">
        <v>851</v>
      </c>
      <c r="G239" s="19" t="s">
        <v>230</v>
      </c>
      <c r="H239" s="19" t="s">
        <v>852</v>
      </c>
      <c r="I239" s="19" t="s">
        <v>853</v>
      </c>
      <c r="J239" s="2" t="s">
        <v>2</v>
      </c>
      <c r="K239" s="20">
        <v>45699.125</v>
      </c>
      <c r="L239" s="20">
        <v>45700.125</v>
      </c>
      <c r="M239" s="22">
        <v>40</v>
      </c>
      <c r="N239" s="21">
        <v>43000</v>
      </c>
      <c r="O239" s="2" t="s">
        <v>76</v>
      </c>
      <c r="P239" s="2" t="s">
        <v>4</v>
      </c>
      <c r="Q239" s="2" t="s">
        <v>5</v>
      </c>
      <c r="R239" s="21">
        <f t="shared" si="27"/>
        <v>43000</v>
      </c>
      <c r="S239" s="21">
        <v>43000</v>
      </c>
      <c r="T239" s="5">
        <f t="shared" si="28"/>
        <v>15000</v>
      </c>
      <c r="U239">
        <f t="shared" si="29"/>
        <v>2</v>
      </c>
      <c r="V239">
        <f t="shared" si="30"/>
        <v>2</v>
      </c>
      <c r="W239" s="5">
        <f t="shared" si="31"/>
        <v>0</v>
      </c>
      <c r="X239" s="2" t="s">
        <v>6</v>
      </c>
      <c r="Y239" s="2" t="s">
        <v>2</v>
      </c>
      <c r="Z239">
        <v>817</v>
      </c>
      <c r="AC239">
        <f t="shared" si="32"/>
        <v>2025</v>
      </c>
      <c r="AD239">
        <f t="shared" si="33"/>
        <v>2025</v>
      </c>
      <c r="AE239">
        <f t="shared" si="34"/>
        <v>2025</v>
      </c>
      <c r="AF239">
        <f t="shared" si="35"/>
        <v>2</v>
      </c>
    </row>
    <row r="240" spans="1:32" x14ac:dyDescent="0.25">
      <c r="A240" s="59">
        <v>45699.125</v>
      </c>
      <c r="B240" s="2">
        <v>1226</v>
      </c>
      <c r="C240" s="19" t="s">
        <v>1304</v>
      </c>
      <c r="D240" s="19" t="s">
        <v>2</v>
      </c>
      <c r="E240" s="19" t="s">
        <v>2</v>
      </c>
      <c r="F240" s="19" t="s">
        <v>854</v>
      </c>
      <c r="G240" s="19" t="s">
        <v>855</v>
      </c>
      <c r="H240" s="19" t="s">
        <v>856</v>
      </c>
      <c r="I240" s="19" t="s">
        <v>857</v>
      </c>
      <c r="J240" s="2" t="s">
        <v>2</v>
      </c>
      <c r="K240" s="20">
        <v>45699.125</v>
      </c>
      <c r="L240" s="20">
        <v>45700.125</v>
      </c>
      <c r="M240" s="22">
        <v>40</v>
      </c>
      <c r="N240" s="21">
        <v>43000</v>
      </c>
      <c r="O240" s="2" t="s">
        <v>76</v>
      </c>
      <c r="P240" s="2" t="s">
        <v>4</v>
      </c>
      <c r="Q240" s="2" t="s">
        <v>5</v>
      </c>
      <c r="R240" s="21">
        <f t="shared" si="27"/>
        <v>43000</v>
      </c>
      <c r="S240" s="21">
        <v>43000</v>
      </c>
      <c r="T240" s="5">
        <f t="shared" si="28"/>
        <v>15000</v>
      </c>
      <c r="U240">
        <f t="shared" si="29"/>
        <v>2</v>
      </c>
      <c r="V240">
        <f t="shared" si="30"/>
        <v>2</v>
      </c>
      <c r="W240" s="5">
        <f t="shared" si="31"/>
        <v>0</v>
      </c>
      <c r="X240" s="2" t="s">
        <v>6</v>
      </c>
      <c r="Y240" s="2" t="s">
        <v>2</v>
      </c>
      <c r="Z240">
        <v>817</v>
      </c>
      <c r="AC240">
        <f t="shared" si="32"/>
        <v>2025</v>
      </c>
      <c r="AD240">
        <f t="shared" si="33"/>
        <v>2025</v>
      </c>
      <c r="AE240">
        <f t="shared" si="34"/>
        <v>2025</v>
      </c>
      <c r="AF240">
        <f t="shared" si="35"/>
        <v>2</v>
      </c>
    </row>
    <row r="241" spans="1:32" x14ac:dyDescent="0.25">
      <c r="A241" s="59">
        <v>45699.125</v>
      </c>
      <c r="B241" s="2">
        <v>1227</v>
      </c>
      <c r="C241" s="19" t="s">
        <v>1304</v>
      </c>
      <c r="D241" s="19" t="s">
        <v>2</v>
      </c>
      <c r="E241" s="19" t="s">
        <v>2</v>
      </c>
      <c r="F241" s="19" t="s">
        <v>843</v>
      </c>
      <c r="G241" s="19" t="s">
        <v>317</v>
      </c>
      <c r="H241" s="19" t="s">
        <v>318</v>
      </c>
      <c r="I241" s="19" t="s">
        <v>858</v>
      </c>
      <c r="J241" s="2" t="s">
        <v>2</v>
      </c>
      <c r="K241" s="20">
        <v>45699.125</v>
      </c>
      <c r="L241" s="20">
        <v>45700.125</v>
      </c>
      <c r="M241" s="22">
        <v>9</v>
      </c>
      <c r="N241" s="21">
        <v>10000</v>
      </c>
      <c r="O241" s="2" t="s">
        <v>76</v>
      </c>
      <c r="P241" s="2" t="s">
        <v>306</v>
      </c>
      <c r="Q241" s="2" t="s">
        <v>5</v>
      </c>
      <c r="R241" s="21">
        <f t="shared" si="27"/>
        <v>10000</v>
      </c>
      <c r="S241" s="21">
        <v>10000</v>
      </c>
      <c r="T241" s="5">
        <f t="shared" si="28"/>
        <v>15000</v>
      </c>
      <c r="U241">
        <f t="shared" si="29"/>
        <v>2</v>
      </c>
      <c r="V241">
        <f t="shared" si="30"/>
        <v>2</v>
      </c>
      <c r="W241" s="5">
        <f t="shared" si="31"/>
        <v>0</v>
      </c>
      <c r="X241" s="2" t="s">
        <v>6</v>
      </c>
      <c r="Y241" s="2" t="s">
        <v>2</v>
      </c>
      <c r="AC241">
        <f t="shared" si="32"/>
        <v>2025</v>
      </c>
      <c r="AD241">
        <f t="shared" si="33"/>
        <v>2025</v>
      </c>
      <c r="AE241">
        <f t="shared" si="34"/>
        <v>2025</v>
      </c>
      <c r="AF241">
        <f t="shared" si="35"/>
        <v>2</v>
      </c>
    </row>
    <row r="242" spans="1:32" x14ac:dyDescent="0.25">
      <c r="A242" s="59">
        <v>45699.125</v>
      </c>
      <c r="B242" s="2">
        <v>1228</v>
      </c>
      <c r="C242" s="19" t="s">
        <v>1304</v>
      </c>
      <c r="D242" s="19" t="s">
        <v>2</v>
      </c>
      <c r="E242" s="19" t="s">
        <v>2</v>
      </c>
      <c r="F242" s="19" t="s">
        <v>859</v>
      </c>
      <c r="G242" s="19" t="s">
        <v>317</v>
      </c>
      <c r="H242" s="19" t="s">
        <v>860</v>
      </c>
      <c r="I242" s="19" t="s">
        <v>861</v>
      </c>
      <c r="J242" s="2" t="s">
        <v>2</v>
      </c>
      <c r="K242" s="20">
        <v>45699.125</v>
      </c>
      <c r="L242" s="20">
        <v>45700.125</v>
      </c>
      <c r="M242" s="22">
        <v>9</v>
      </c>
      <c r="N242" s="21">
        <v>10000</v>
      </c>
      <c r="O242" s="2" t="s">
        <v>76</v>
      </c>
      <c r="P242" s="2" t="s">
        <v>306</v>
      </c>
      <c r="Q242" s="2" t="s">
        <v>5</v>
      </c>
      <c r="R242" s="21">
        <f t="shared" si="27"/>
        <v>10000</v>
      </c>
      <c r="S242" s="21">
        <v>10000</v>
      </c>
      <c r="T242" s="5">
        <f t="shared" si="28"/>
        <v>15000</v>
      </c>
      <c r="U242">
        <f t="shared" si="29"/>
        <v>2</v>
      </c>
      <c r="V242">
        <f t="shared" si="30"/>
        <v>2</v>
      </c>
      <c r="W242" s="5">
        <f t="shared" si="31"/>
        <v>0</v>
      </c>
      <c r="X242" s="2" t="s">
        <v>6</v>
      </c>
      <c r="Y242" s="2" t="s">
        <v>2</v>
      </c>
      <c r="AC242">
        <f t="shared" si="32"/>
        <v>2025</v>
      </c>
      <c r="AD242">
        <f t="shared" si="33"/>
        <v>2025</v>
      </c>
      <c r="AE242">
        <f t="shared" si="34"/>
        <v>2025</v>
      </c>
      <c r="AF242">
        <f t="shared" si="35"/>
        <v>2</v>
      </c>
    </row>
    <row r="243" spans="1:32" x14ac:dyDescent="0.25">
      <c r="A243" s="59">
        <v>45699.125</v>
      </c>
      <c r="B243" s="2">
        <v>1229</v>
      </c>
      <c r="C243" s="19" t="s">
        <v>1304</v>
      </c>
      <c r="D243" s="19" t="s">
        <v>2</v>
      </c>
      <c r="E243" s="19" t="s">
        <v>2</v>
      </c>
      <c r="F243" s="19" t="s">
        <v>862</v>
      </c>
      <c r="G243" s="19" t="s">
        <v>163</v>
      </c>
      <c r="H243" s="19" t="s">
        <v>863</v>
      </c>
      <c r="I243" s="19" t="s">
        <v>864</v>
      </c>
      <c r="J243" s="2" t="s">
        <v>2</v>
      </c>
      <c r="K243" s="20">
        <v>45699.125</v>
      </c>
      <c r="L243" s="20">
        <v>45700.125</v>
      </c>
      <c r="M243" s="22">
        <v>9</v>
      </c>
      <c r="N243" s="21">
        <v>10000</v>
      </c>
      <c r="O243" s="2" t="s">
        <v>76</v>
      </c>
      <c r="P243" s="2" t="s">
        <v>306</v>
      </c>
      <c r="Q243" s="2" t="s">
        <v>5</v>
      </c>
      <c r="R243" s="21">
        <f t="shared" si="27"/>
        <v>10000</v>
      </c>
      <c r="S243" s="21">
        <v>10000</v>
      </c>
      <c r="T243" s="5">
        <f t="shared" si="28"/>
        <v>15000</v>
      </c>
      <c r="U243">
        <f t="shared" si="29"/>
        <v>2</v>
      </c>
      <c r="V243">
        <f t="shared" si="30"/>
        <v>2</v>
      </c>
      <c r="W243" s="5">
        <f t="shared" si="31"/>
        <v>0</v>
      </c>
      <c r="X243" s="2" t="s">
        <v>6</v>
      </c>
      <c r="Y243" s="2" t="s">
        <v>2</v>
      </c>
      <c r="AC243">
        <f t="shared" si="32"/>
        <v>2025</v>
      </c>
      <c r="AD243">
        <f t="shared" si="33"/>
        <v>2025</v>
      </c>
      <c r="AE243">
        <f t="shared" si="34"/>
        <v>2025</v>
      </c>
      <c r="AF243">
        <f t="shared" si="35"/>
        <v>2</v>
      </c>
    </row>
    <row r="244" spans="1:32" x14ac:dyDescent="0.25">
      <c r="A244" s="59">
        <v>45700.125</v>
      </c>
      <c r="B244" s="2">
        <v>1230</v>
      </c>
      <c r="C244" s="19" t="s">
        <v>0</v>
      </c>
      <c r="D244" s="19" t="s">
        <v>111</v>
      </c>
      <c r="E244" s="19" t="s">
        <v>865</v>
      </c>
      <c r="F244" s="19" t="s">
        <v>866</v>
      </c>
      <c r="G244" s="19" t="s">
        <v>867</v>
      </c>
      <c r="H244" s="19" t="s">
        <v>868</v>
      </c>
      <c r="I244" s="19" t="s">
        <v>869</v>
      </c>
      <c r="J244" s="2" t="s">
        <v>870</v>
      </c>
      <c r="K244" s="20">
        <v>45700.125</v>
      </c>
      <c r="L244" s="20">
        <v>45707.125</v>
      </c>
      <c r="M244" s="22">
        <v>365</v>
      </c>
      <c r="N244" s="21">
        <v>385200</v>
      </c>
      <c r="O244" s="2" t="s">
        <v>76</v>
      </c>
      <c r="P244" s="2" t="s">
        <v>4</v>
      </c>
      <c r="Q244" s="2" t="s">
        <v>5</v>
      </c>
      <c r="R244" s="21">
        <f t="shared" si="27"/>
        <v>385200</v>
      </c>
      <c r="S244" s="21">
        <v>385200</v>
      </c>
      <c r="T244" s="5">
        <f t="shared" si="28"/>
        <v>15000</v>
      </c>
      <c r="U244">
        <f t="shared" si="29"/>
        <v>2</v>
      </c>
      <c r="V244">
        <f t="shared" si="30"/>
        <v>2</v>
      </c>
      <c r="W244" s="5">
        <f t="shared" si="31"/>
        <v>0</v>
      </c>
      <c r="X244" s="2" t="s">
        <v>6</v>
      </c>
      <c r="Y244" s="2" t="s">
        <v>2</v>
      </c>
      <c r="AA244" t="s">
        <v>1591</v>
      </c>
      <c r="AC244">
        <f t="shared" si="32"/>
        <v>2025</v>
      </c>
      <c r="AD244">
        <f t="shared" si="33"/>
        <v>2025</v>
      </c>
      <c r="AE244">
        <f t="shared" si="34"/>
        <v>2025</v>
      </c>
      <c r="AF244">
        <f t="shared" si="35"/>
        <v>2</v>
      </c>
    </row>
    <row r="245" spans="1:32" x14ac:dyDescent="0.25">
      <c r="A245" s="59">
        <v>45700.125</v>
      </c>
      <c r="B245" s="2">
        <v>1231</v>
      </c>
      <c r="C245" s="19" t="s">
        <v>0</v>
      </c>
      <c r="D245" s="19" t="s">
        <v>111</v>
      </c>
      <c r="E245" s="19" t="s">
        <v>865</v>
      </c>
      <c r="F245" s="19" t="s">
        <v>871</v>
      </c>
      <c r="G245" s="19" t="s">
        <v>309</v>
      </c>
      <c r="H245" s="19" t="s">
        <v>872</v>
      </c>
      <c r="I245" s="19" t="s">
        <v>873</v>
      </c>
      <c r="J245" s="2" t="s">
        <v>874</v>
      </c>
      <c r="K245" s="20">
        <v>45708.125</v>
      </c>
      <c r="L245" s="20">
        <v>45714.125</v>
      </c>
      <c r="M245" s="22">
        <v>0</v>
      </c>
      <c r="N245" s="21">
        <v>0</v>
      </c>
      <c r="O245" s="2" t="s">
        <v>76</v>
      </c>
      <c r="P245" s="2" t="s">
        <v>306</v>
      </c>
      <c r="Q245" s="2" t="s">
        <v>5</v>
      </c>
      <c r="R245" s="21">
        <f t="shared" si="27"/>
        <v>0</v>
      </c>
      <c r="S245" s="21">
        <v>0</v>
      </c>
      <c r="T245" s="5">
        <f t="shared" si="28"/>
        <v>15000</v>
      </c>
      <c r="U245">
        <f t="shared" si="29"/>
        <v>2</v>
      </c>
      <c r="V245">
        <f t="shared" si="30"/>
        <v>2</v>
      </c>
      <c r="W245" s="5">
        <f t="shared" si="31"/>
        <v>0</v>
      </c>
      <c r="X245" s="2" t="s">
        <v>6</v>
      </c>
      <c r="Y245" s="2" t="s">
        <v>2</v>
      </c>
      <c r="AC245">
        <f t="shared" si="32"/>
        <v>2025</v>
      </c>
      <c r="AD245">
        <f t="shared" si="33"/>
        <v>2025</v>
      </c>
      <c r="AE245">
        <f t="shared" si="34"/>
        <v>2025</v>
      </c>
      <c r="AF245">
        <f t="shared" si="35"/>
        <v>2</v>
      </c>
    </row>
    <row r="246" spans="1:32" x14ac:dyDescent="0.25">
      <c r="A246" s="59">
        <v>45705.125</v>
      </c>
      <c r="B246" s="2">
        <v>1232</v>
      </c>
      <c r="C246" s="19" t="s">
        <v>0</v>
      </c>
      <c r="D246" s="19" t="s">
        <v>111</v>
      </c>
      <c r="E246" s="19" t="s">
        <v>810</v>
      </c>
      <c r="F246" s="19" t="s">
        <v>875</v>
      </c>
      <c r="G246" s="19" t="s">
        <v>876</v>
      </c>
      <c r="H246" s="19" t="s">
        <v>877</v>
      </c>
      <c r="I246" s="19" t="s">
        <v>878</v>
      </c>
      <c r="J246" s="2" t="s">
        <v>879</v>
      </c>
      <c r="K246" s="20">
        <v>45705.125</v>
      </c>
      <c r="L246" s="20">
        <v>45708.125</v>
      </c>
      <c r="M246" s="22">
        <v>1245</v>
      </c>
      <c r="N246" s="21">
        <v>1472420</v>
      </c>
      <c r="O246" s="2" t="s">
        <v>76</v>
      </c>
      <c r="P246" s="2" t="s">
        <v>4</v>
      </c>
      <c r="Q246" s="2" t="s">
        <v>5</v>
      </c>
      <c r="R246" s="21">
        <f t="shared" si="27"/>
        <v>1472420</v>
      </c>
      <c r="S246" s="21">
        <v>1472420</v>
      </c>
      <c r="T246" s="5">
        <f t="shared" si="28"/>
        <v>15000</v>
      </c>
      <c r="U246">
        <f t="shared" si="29"/>
        <v>2</v>
      </c>
      <c r="V246">
        <f t="shared" si="30"/>
        <v>2</v>
      </c>
      <c r="W246" s="5">
        <f t="shared" si="31"/>
        <v>0</v>
      </c>
      <c r="X246" s="2" t="s">
        <v>6</v>
      </c>
      <c r="Y246" s="2" t="s">
        <v>2</v>
      </c>
      <c r="AA246" t="s">
        <v>1592</v>
      </c>
      <c r="AC246">
        <f t="shared" si="32"/>
        <v>2025</v>
      </c>
      <c r="AD246">
        <f t="shared" si="33"/>
        <v>2025</v>
      </c>
      <c r="AE246">
        <f t="shared" si="34"/>
        <v>2025</v>
      </c>
      <c r="AF246">
        <f t="shared" si="35"/>
        <v>2</v>
      </c>
    </row>
    <row r="247" spans="1:32" x14ac:dyDescent="0.25">
      <c r="A247" s="59">
        <v>45708.125</v>
      </c>
      <c r="B247" s="2">
        <v>1233</v>
      </c>
      <c r="C247" s="19" t="s">
        <v>880</v>
      </c>
      <c r="D247" s="19" t="s">
        <v>2</v>
      </c>
      <c r="E247" s="19" t="s">
        <v>2</v>
      </c>
      <c r="F247" s="19" t="s">
        <v>880</v>
      </c>
      <c r="G247" s="19" t="s">
        <v>881</v>
      </c>
      <c r="H247" s="19" t="s">
        <v>882</v>
      </c>
      <c r="I247" s="19" t="s">
        <v>883</v>
      </c>
      <c r="J247" s="2" t="s">
        <v>2</v>
      </c>
      <c r="K247" s="20">
        <v>45733.125</v>
      </c>
      <c r="L247" s="20">
        <v>45720.125</v>
      </c>
      <c r="M247" s="22">
        <v>663</v>
      </c>
      <c r="N247" s="21">
        <v>730500</v>
      </c>
      <c r="O247" s="2" t="s">
        <v>76</v>
      </c>
      <c r="P247" s="2" t="s">
        <v>4</v>
      </c>
      <c r="Q247" s="2" t="s">
        <v>5</v>
      </c>
      <c r="R247" s="21">
        <f t="shared" si="27"/>
        <v>730500</v>
      </c>
      <c r="S247" s="21">
        <v>730500</v>
      </c>
      <c r="T247" s="5">
        <f t="shared" si="28"/>
        <v>15000</v>
      </c>
      <c r="U247">
        <f t="shared" si="29"/>
        <v>3</v>
      </c>
      <c r="V247">
        <f t="shared" si="30"/>
        <v>2</v>
      </c>
      <c r="W247" s="5">
        <f t="shared" si="31"/>
        <v>0</v>
      </c>
      <c r="X247" s="2" t="s">
        <v>6</v>
      </c>
      <c r="Y247" s="2" t="s">
        <v>2</v>
      </c>
      <c r="Z247">
        <v>822</v>
      </c>
      <c r="AC247">
        <f t="shared" si="32"/>
        <v>2025</v>
      </c>
      <c r="AD247">
        <f t="shared" si="33"/>
        <v>2025</v>
      </c>
      <c r="AE247">
        <f t="shared" si="34"/>
        <v>2025</v>
      </c>
      <c r="AF247">
        <f t="shared" si="35"/>
        <v>3</v>
      </c>
    </row>
    <row r="248" spans="1:32" x14ac:dyDescent="0.25">
      <c r="A248" s="59">
        <v>45709.125</v>
      </c>
      <c r="B248" s="2">
        <v>1234</v>
      </c>
      <c r="C248" s="19" t="s">
        <v>367</v>
      </c>
      <c r="D248" s="19" t="s">
        <v>2</v>
      </c>
      <c r="E248" s="19" t="s">
        <v>2</v>
      </c>
      <c r="F248" s="19" t="s">
        <v>884</v>
      </c>
      <c r="G248" s="19" t="s">
        <v>107</v>
      </c>
      <c r="H248" s="19" t="s">
        <v>885</v>
      </c>
      <c r="I248" s="19" t="s">
        <v>886</v>
      </c>
      <c r="J248" s="2" t="s">
        <v>2</v>
      </c>
      <c r="K248" s="20">
        <v>45726.125</v>
      </c>
      <c r="L248" s="20">
        <v>45720.125</v>
      </c>
      <c r="M248" s="22">
        <v>270</v>
      </c>
      <c r="N248" s="21">
        <v>297000</v>
      </c>
      <c r="O248" s="2" t="s">
        <v>76</v>
      </c>
      <c r="P248" s="2" t="s">
        <v>4</v>
      </c>
      <c r="Q248" s="2" t="s">
        <v>5</v>
      </c>
      <c r="R248" s="21">
        <f t="shared" si="27"/>
        <v>297000</v>
      </c>
      <c r="S248" s="21">
        <v>297000</v>
      </c>
      <c r="T248" s="5">
        <f t="shared" si="28"/>
        <v>15000</v>
      </c>
      <c r="U248">
        <f t="shared" si="29"/>
        <v>3</v>
      </c>
      <c r="V248">
        <f t="shared" si="30"/>
        <v>2</v>
      </c>
      <c r="W248" s="5">
        <f t="shared" si="31"/>
        <v>0</v>
      </c>
      <c r="X248" s="2" t="s">
        <v>6</v>
      </c>
      <c r="Y248" s="2" t="s">
        <v>2</v>
      </c>
      <c r="Z248">
        <v>819</v>
      </c>
      <c r="AC248">
        <f t="shared" si="32"/>
        <v>2025</v>
      </c>
      <c r="AD248">
        <f t="shared" si="33"/>
        <v>2025</v>
      </c>
      <c r="AE248">
        <f t="shared" si="34"/>
        <v>2025</v>
      </c>
      <c r="AF248">
        <f t="shared" si="35"/>
        <v>3</v>
      </c>
    </row>
    <row r="249" spans="1:32" x14ac:dyDescent="0.25">
      <c r="A249" s="59">
        <v>45709.125</v>
      </c>
      <c r="B249" s="2">
        <v>1235</v>
      </c>
      <c r="C249" s="19" t="s">
        <v>367</v>
      </c>
      <c r="D249" s="19" t="s">
        <v>2</v>
      </c>
      <c r="E249" s="19" t="s">
        <v>2</v>
      </c>
      <c r="F249" s="19" t="s">
        <v>887</v>
      </c>
      <c r="G249" s="19" t="s">
        <v>888</v>
      </c>
      <c r="H249" s="19" t="s">
        <v>889</v>
      </c>
      <c r="I249" s="19" t="s">
        <v>890</v>
      </c>
      <c r="J249" s="2" t="s">
        <v>2</v>
      </c>
      <c r="K249" s="20">
        <v>45726.125</v>
      </c>
      <c r="L249" s="20">
        <v>45720.125</v>
      </c>
      <c r="M249" s="22">
        <v>110</v>
      </c>
      <c r="N249" s="21">
        <v>110000</v>
      </c>
      <c r="O249" s="2" t="s">
        <v>76</v>
      </c>
      <c r="P249" s="2" t="s">
        <v>4</v>
      </c>
      <c r="Q249" s="2" t="s">
        <v>5</v>
      </c>
      <c r="R249" s="21">
        <f t="shared" si="27"/>
        <v>110000</v>
      </c>
      <c r="S249" s="21">
        <v>110000</v>
      </c>
      <c r="T249" s="5">
        <f t="shared" si="28"/>
        <v>15000</v>
      </c>
      <c r="U249">
        <f t="shared" si="29"/>
        <v>3</v>
      </c>
      <c r="V249">
        <f t="shared" si="30"/>
        <v>2</v>
      </c>
      <c r="W249" s="5">
        <f t="shared" si="31"/>
        <v>0</v>
      </c>
      <c r="X249" s="2" t="s">
        <v>6</v>
      </c>
      <c r="Y249" s="2" t="s">
        <v>2</v>
      </c>
      <c r="Z249">
        <v>819</v>
      </c>
      <c r="AC249">
        <f t="shared" si="32"/>
        <v>2025</v>
      </c>
      <c r="AD249">
        <f t="shared" si="33"/>
        <v>2025</v>
      </c>
      <c r="AE249">
        <f t="shared" si="34"/>
        <v>2025</v>
      </c>
      <c r="AF249">
        <f t="shared" si="35"/>
        <v>3</v>
      </c>
    </row>
    <row r="250" spans="1:32" x14ac:dyDescent="0.25">
      <c r="A250" s="59">
        <v>45714.125</v>
      </c>
      <c r="B250" s="2">
        <v>1236</v>
      </c>
      <c r="C250" s="19" t="s">
        <v>753</v>
      </c>
      <c r="D250" s="19" t="s">
        <v>2</v>
      </c>
      <c r="E250" s="19" t="s">
        <v>2</v>
      </c>
      <c r="F250" s="19" t="s">
        <v>186</v>
      </c>
      <c r="G250" s="19" t="s">
        <v>754</v>
      </c>
      <c r="H250" s="19" t="s">
        <v>755</v>
      </c>
      <c r="I250" s="19" t="s">
        <v>756</v>
      </c>
      <c r="J250" s="2" t="s">
        <v>2</v>
      </c>
      <c r="K250" s="20">
        <v>45726.125</v>
      </c>
      <c r="L250" s="20">
        <v>45720.125</v>
      </c>
      <c r="M250" s="22">
        <v>80</v>
      </c>
      <c r="N250" s="21">
        <v>88000</v>
      </c>
      <c r="O250" s="2" t="s">
        <v>76</v>
      </c>
      <c r="P250" s="2" t="s">
        <v>4</v>
      </c>
      <c r="Q250" s="2" t="s">
        <v>5</v>
      </c>
      <c r="R250" s="21">
        <f t="shared" si="27"/>
        <v>88000</v>
      </c>
      <c r="S250" s="21">
        <v>88000</v>
      </c>
      <c r="T250" s="5">
        <f t="shared" si="28"/>
        <v>15000</v>
      </c>
      <c r="U250">
        <f t="shared" si="29"/>
        <v>3</v>
      </c>
      <c r="V250">
        <f t="shared" si="30"/>
        <v>2</v>
      </c>
      <c r="W250" s="5">
        <f t="shared" si="31"/>
        <v>0</v>
      </c>
      <c r="X250" s="2" t="s">
        <v>6</v>
      </c>
      <c r="Y250" s="2" t="s">
        <v>2</v>
      </c>
      <c r="Z250">
        <v>818</v>
      </c>
      <c r="AC250">
        <f t="shared" si="32"/>
        <v>2025</v>
      </c>
      <c r="AD250">
        <f t="shared" si="33"/>
        <v>2025</v>
      </c>
      <c r="AE250">
        <f t="shared" si="34"/>
        <v>2025</v>
      </c>
      <c r="AF250">
        <f t="shared" si="35"/>
        <v>3</v>
      </c>
    </row>
    <row r="251" spans="1:32" x14ac:dyDescent="0.25">
      <c r="A251" s="59">
        <v>45714.125</v>
      </c>
      <c r="B251" s="2">
        <v>1237</v>
      </c>
      <c r="C251" s="19" t="s">
        <v>709</v>
      </c>
      <c r="D251" s="19" t="s">
        <v>2</v>
      </c>
      <c r="E251" s="19" t="s">
        <v>2</v>
      </c>
      <c r="F251" s="19" t="s">
        <v>420</v>
      </c>
      <c r="G251" s="19" t="s">
        <v>334</v>
      </c>
      <c r="H251" s="19" t="s">
        <v>891</v>
      </c>
      <c r="I251" s="19" t="s">
        <v>892</v>
      </c>
      <c r="J251" s="2" t="s">
        <v>2</v>
      </c>
      <c r="K251" s="20">
        <v>45721.125</v>
      </c>
      <c r="L251" s="20">
        <v>45734.125</v>
      </c>
      <c r="M251" s="22">
        <v>0</v>
      </c>
      <c r="N251" s="21">
        <v>0</v>
      </c>
      <c r="O251" s="2" t="s">
        <v>3</v>
      </c>
      <c r="P251" s="2" t="s">
        <v>306</v>
      </c>
      <c r="Q251" s="2" t="s">
        <v>5</v>
      </c>
      <c r="R251" s="21">
        <f t="shared" si="27"/>
        <v>0</v>
      </c>
      <c r="S251" s="21">
        <v>0</v>
      </c>
      <c r="T251" s="5">
        <f t="shared" si="28"/>
        <v>15000</v>
      </c>
      <c r="U251">
        <f t="shared" si="29"/>
        <v>3</v>
      </c>
      <c r="V251">
        <f t="shared" si="30"/>
        <v>2</v>
      </c>
      <c r="W251" s="5">
        <f t="shared" si="31"/>
        <v>0</v>
      </c>
      <c r="X251" s="2" t="s">
        <v>6</v>
      </c>
      <c r="Y251" s="2" t="s">
        <v>2</v>
      </c>
      <c r="AC251">
        <f t="shared" si="32"/>
        <v>2025</v>
      </c>
      <c r="AD251">
        <f t="shared" si="33"/>
        <v>2025</v>
      </c>
      <c r="AE251">
        <f t="shared" si="34"/>
        <v>2025</v>
      </c>
      <c r="AF251">
        <f t="shared" si="35"/>
        <v>3</v>
      </c>
    </row>
    <row r="252" spans="1:32" x14ac:dyDescent="0.25">
      <c r="A252" s="59">
        <v>45715.125</v>
      </c>
      <c r="B252" s="2">
        <v>1238</v>
      </c>
      <c r="C252" s="19" t="s">
        <v>893</v>
      </c>
      <c r="D252" s="19" t="s">
        <v>2</v>
      </c>
      <c r="E252" s="19" t="s">
        <v>2</v>
      </c>
      <c r="F252" s="19" t="s">
        <v>894</v>
      </c>
      <c r="G252" s="19" t="s">
        <v>895</v>
      </c>
      <c r="H252" s="19" t="s">
        <v>896</v>
      </c>
      <c r="I252" s="19" t="s">
        <v>897</v>
      </c>
      <c r="J252" s="2" t="s">
        <v>2</v>
      </c>
      <c r="K252" s="20">
        <v>45737.125</v>
      </c>
      <c r="L252" s="20">
        <v>45722.125</v>
      </c>
      <c r="M252" s="22">
        <v>293</v>
      </c>
      <c r="N252" s="21">
        <v>267000</v>
      </c>
      <c r="O252" s="2" t="s">
        <v>76</v>
      </c>
      <c r="P252" s="2" t="s">
        <v>4</v>
      </c>
      <c r="Q252" s="2" t="s">
        <v>5</v>
      </c>
      <c r="R252" s="21">
        <f t="shared" si="27"/>
        <v>267000</v>
      </c>
      <c r="S252" s="21">
        <v>267000</v>
      </c>
      <c r="T252" s="5">
        <f t="shared" si="28"/>
        <v>15000</v>
      </c>
      <c r="U252">
        <f t="shared" si="29"/>
        <v>3</v>
      </c>
      <c r="V252">
        <f t="shared" si="30"/>
        <v>2</v>
      </c>
      <c r="W252" s="5">
        <f t="shared" si="31"/>
        <v>0</v>
      </c>
      <c r="X252" s="2" t="s">
        <v>6</v>
      </c>
      <c r="Y252" s="2" t="s">
        <v>2</v>
      </c>
      <c r="AA252" t="s">
        <v>1593</v>
      </c>
      <c r="AC252">
        <f t="shared" si="32"/>
        <v>2025</v>
      </c>
      <c r="AD252">
        <f t="shared" si="33"/>
        <v>2025</v>
      </c>
      <c r="AE252">
        <f t="shared" si="34"/>
        <v>2025</v>
      </c>
      <c r="AF252">
        <f t="shared" si="35"/>
        <v>3</v>
      </c>
    </row>
    <row r="253" spans="1:32" x14ac:dyDescent="0.25">
      <c r="A253" s="59">
        <v>45727.125</v>
      </c>
      <c r="B253" s="2">
        <v>1239</v>
      </c>
      <c r="C253" s="19" t="s">
        <v>898</v>
      </c>
      <c r="D253" s="19" t="s">
        <v>2</v>
      </c>
      <c r="E253" s="19" t="s">
        <v>2</v>
      </c>
      <c r="F253" s="19" t="s">
        <v>1001</v>
      </c>
      <c r="G253" s="19" t="s">
        <v>107</v>
      </c>
      <c r="H253" s="19" t="s">
        <v>899</v>
      </c>
      <c r="I253" s="19" t="s">
        <v>900</v>
      </c>
      <c r="J253" s="2" t="s">
        <v>2</v>
      </c>
      <c r="K253" s="20">
        <v>45729.125</v>
      </c>
      <c r="L253" s="20">
        <v>45729.125</v>
      </c>
      <c r="M253" s="22">
        <v>200</v>
      </c>
      <c r="N253" s="21">
        <v>224500</v>
      </c>
      <c r="O253" s="2" t="s">
        <v>76</v>
      </c>
      <c r="P253" s="2" t="s">
        <v>145</v>
      </c>
      <c r="Q253" s="2" t="s">
        <v>146</v>
      </c>
      <c r="R253" s="21">
        <f t="shared" si="27"/>
        <v>0</v>
      </c>
      <c r="S253" s="21">
        <v>0</v>
      </c>
      <c r="T253" s="5">
        <f t="shared" si="28"/>
        <v>15000</v>
      </c>
      <c r="U253">
        <f t="shared" si="29"/>
        <v>3</v>
      </c>
      <c r="V253">
        <f t="shared" si="30"/>
        <v>3</v>
      </c>
      <c r="W253" s="5">
        <f t="shared" si="31"/>
        <v>0</v>
      </c>
      <c r="X253" s="2" t="s">
        <v>6</v>
      </c>
      <c r="Y253" s="2" t="s">
        <v>2</v>
      </c>
      <c r="AC253">
        <f t="shared" si="32"/>
        <v>2025</v>
      </c>
      <c r="AD253">
        <f t="shared" si="33"/>
        <v>2025</v>
      </c>
      <c r="AE253">
        <f t="shared" si="34"/>
        <v>2025</v>
      </c>
      <c r="AF253">
        <f t="shared" si="35"/>
        <v>3</v>
      </c>
    </row>
    <row r="254" spans="1:32" x14ac:dyDescent="0.25">
      <c r="A254" s="59">
        <v>45727.125</v>
      </c>
      <c r="B254" s="2">
        <v>1240</v>
      </c>
      <c r="C254" s="19" t="s">
        <v>535</v>
      </c>
      <c r="D254" s="19" t="s">
        <v>2</v>
      </c>
      <c r="E254" s="19" t="s">
        <v>2</v>
      </c>
      <c r="F254" s="19" t="s">
        <v>388</v>
      </c>
      <c r="G254" s="19" t="s">
        <v>94</v>
      </c>
      <c r="H254" s="19" t="s">
        <v>104</v>
      </c>
      <c r="I254" s="19" t="s">
        <v>901</v>
      </c>
      <c r="J254" s="2" t="s">
        <v>2</v>
      </c>
      <c r="K254" s="20">
        <v>45727.125</v>
      </c>
      <c r="L254" s="20">
        <v>45729.125</v>
      </c>
      <c r="M254" s="22">
        <v>170</v>
      </c>
      <c r="N254" s="21">
        <v>195500</v>
      </c>
      <c r="O254" s="2" t="s">
        <v>76</v>
      </c>
      <c r="P254" s="2" t="s">
        <v>4</v>
      </c>
      <c r="Q254" s="2" t="s">
        <v>5</v>
      </c>
      <c r="R254" s="21">
        <f t="shared" si="27"/>
        <v>195500</v>
      </c>
      <c r="S254" s="21">
        <v>195500</v>
      </c>
      <c r="T254" s="5">
        <f t="shared" si="28"/>
        <v>15000</v>
      </c>
      <c r="U254">
        <f t="shared" si="29"/>
        <v>3</v>
      </c>
      <c r="V254">
        <f t="shared" si="30"/>
        <v>3</v>
      </c>
      <c r="W254" s="5">
        <f t="shared" si="31"/>
        <v>0</v>
      </c>
      <c r="X254" s="2" t="s">
        <v>6</v>
      </c>
      <c r="Y254" s="2" t="s">
        <v>2</v>
      </c>
      <c r="Z254">
        <v>820</v>
      </c>
      <c r="AC254">
        <f t="shared" si="32"/>
        <v>2025</v>
      </c>
      <c r="AD254">
        <f t="shared" si="33"/>
        <v>2025</v>
      </c>
      <c r="AE254">
        <f t="shared" si="34"/>
        <v>2025</v>
      </c>
      <c r="AF254">
        <f t="shared" si="35"/>
        <v>3</v>
      </c>
    </row>
    <row r="255" spans="1:32" x14ac:dyDescent="0.25">
      <c r="A255" s="59">
        <v>45727.125</v>
      </c>
      <c r="B255" s="2">
        <v>1241</v>
      </c>
      <c r="C255" s="19" t="s">
        <v>535</v>
      </c>
      <c r="D255" s="19" t="s">
        <v>2</v>
      </c>
      <c r="E255" s="19" t="s">
        <v>2</v>
      </c>
      <c r="F255" s="19" t="s">
        <v>399</v>
      </c>
      <c r="G255" s="19" t="s">
        <v>94</v>
      </c>
      <c r="H255" s="19" t="s">
        <v>104</v>
      </c>
      <c r="I255" s="19" t="s">
        <v>902</v>
      </c>
      <c r="J255" s="2" t="s">
        <v>2</v>
      </c>
      <c r="K255" s="20">
        <v>45746.125</v>
      </c>
      <c r="L255" s="20">
        <v>45746.125</v>
      </c>
      <c r="M255" s="22">
        <v>150</v>
      </c>
      <c r="N255" s="21">
        <v>170500</v>
      </c>
      <c r="O255" s="2" t="s">
        <v>76</v>
      </c>
      <c r="P255" s="2" t="s">
        <v>4</v>
      </c>
      <c r="Q255" s="2" t="s">
        <v>5</v>
      </c>
      <c r="R255" s="21">
        <f t="shared" si="27"/>
        <v>170500</v>
      </c>
      <c r="S255" s="21">
        <v>170500</v>
      </c>
      <c r="T255" s="5">
        <f t="shared" si="28"/>
        <v>15000</v>
      </c>
      <c r="U255">
        <f t="shared" si="29"/>
        <v>3</v>
      </c>
      <c r="V255">
        <f t="shared" si="30"/>
        <v>3</v>
      </c>
      <c r="W255" s="5">
        <f t="shared" si="31"/>
        <v>0</v>
      </c>
      <c r="X255" s="2" t="s">
        <v>6</v>
      </c>
      <c r="Y255" s="2" t="s">
        <v>2</v>
      </c>
      <c r="Z255">
        <v>820</v>
      </c>
      <c r="AC255">
        <f t="shared" si="32"/>
        <v>2025</v>
      </c>
      <c r="AD255">
        <f t="shared" si="33"/>
        <v>2025</v>
      </c>
      <c r="AE255">
        <f t="shared" si="34"/>
        <v>2025</v>
      </c>
      <c r="AF255">
        <f t="shared" si="35"/>
        <v>3</v>
      </c>
    </row>
    <row r="256" spans="1:32" x14ac:dyDescent="0.25">
      <c r="A256" s="59">
        <v>45729.125</v>
      </c>
      <c r="B256" s="2">
        <v>1242</v>
      </c>
      <c r="C256" s="19" t="s">
        <v>218</v>
      </c>
      <c r="D256" s="19" t="s">
        <v>2</v>
      </c>
      <c r="E256" s="19" t="s">
        <v>2</v>
      </c>
      <c r="F256" s="19" t="s">
        <v>903</v>
      </c>
      <c r="G256" s="19" t="s">
        <v>904</v>
      </c>
      <c r="H256" s="19" t="s">
        <v>905</v>
      </c>
      <c r="I256" s="19" t="s">
        <v>906</v>
      </c>
      <c r="J256" s="2" t="s">
        <v>2</v>
      </c>
      <c r="K256" s="20">
        <v>45729.125</v>
      </c>
      <c r="L256" s="20">
        <v>45730.125</v>
      </c>
      <c r="M256" s="22">
        <v>240</v>
      </c>
      <c r="N256" s="21">
        <v>264000</v>
      </c>
      <c r="O256" s="2" t="s">
        <v>76</v>
      </c>
      <c r="P256" s="2" t="s">
        <v>4</v>
      </c>
      <c r="Q256" s="2" t="s">
        <v>5</v>
      </c>
      <c r="R256" s="21">
        <f t="shared" si="27"/>
        <v>264000</v>
      </c>
      <c r="S256" s="21">
        <v>264000</v>
      </c>
      <c r="T256" s="5">
        <f t="shared" si="28"/>
        <v>15000</v>
      </c>
      <c r="U256">
        <f t="shared" si="29"/>
        <v>3</v>
      </c>
      <c r="V256">
        <f t="shared" si="30"/>
        <v>3</v>
      </c>
      <c r="W256" s="5">
        <f t="shared" si="31"/>
        <v>0</v>
      </c>
      <c r="X256" s="2" t="s">
        <v>6</v>
      </c>
      <c r="Y256" s="2" t="s">
        <v>2</v>
      </c>
      <c r="Z256">
        <v>821</v>
      </c>
      <c r="AA256" t="s">
        <v>1594</v>
      </c>
      <c r="AC256">
        <f t="shared" si="32"/>
        <v>2025</v>
      </c>
      <c r="AD256">
        <f t="shared" si="33"/>
        <v>2025</v>
      </c>
      <c r="AE256">
        <f t="shared" si="34"/>
        <v>2025</v>
      </c>
      <c r="AF256">
        <f t="shared" si="35"/>
        <v>3</v>
      </c>
    </row>
    <row r="257" spans="1:32" x14ac:dyDescent="0.25">
      <c r="A257" s="59">
        <v>45734.125</v>
      </c>
      <c r="B257" s="2">
        <v>1243</v>
      </c>
      <c r="C257" s="19" t="s">
        <v>907</v>
      </c>
      <c r="D257" s="19" t="s">
        <v>2</v>
      </c>
      <c r="E257" s="19" t="s">
        <v>2</v>
      </c>
      <c r="F257" s="19" t="s">
        <v>908</v>
      </c>
      <c r="G257" s="19" t="s">
        <v>909</v>
      </c>
      <c r="H257" s="19" t="s">
        <v>910</v>
      </c>
      <c r="I257" s="19" t="s">
        <v>911</v>
      </c>
      <c r="J257" s="2" t="s">
        <v>2</v>
      </c>
      <c r="K257" s="20">
        <v>45937.125</v>
      </c>
      <c r="L257" s="20">
        <v>45937.125</v>
      </c>
      <c r="M257" s="22">
        <v>100</v>
      </c>
      <c r="N257" s="21">
        <v>116000</v>
      </c>
      <c r="O257" s="2" t="s">
        <v>76</v>
      </c>
      <c r="P257" s="2" t="s">
        <v>4</v>
      </c>
      <c r="Q257" s="2" t="s">
        <v>5</v>
      </c>
      <c r="R257" s="21">
        <f t="shared" si="27"/>
        <v>116000</v>
      </c>
      <c r="S257" s="21">
        <v>116000</v>
      </c>
      <c r="T257" s="5">
        <f t="shared" si="28"/>
        <v>15000</v>
      </c>
      <c r="U257">
        <f t="shared" si="29"/>
        <v>10</v>
      </c>
      <c r="V257">
        <f t="shared" si="30"/>
        <v>3</v>
      </c>
      <c r="W257" s="5">
        <f t="shared" si="31"/>
        <v>0</v>
      </c>
      <c r="X257" s="2" t="s">
        <v>6</v>
      </c>
      <c r="Y257" s="2" t="s">
        <v>2</v>
      </c>
      <c r="AC257">
        <f t="shared" si="32"/>
        <v>2025</v>
      </c>
      <c r="AD257">
        <f t="shared" si="33"/>
        <v>2025</v>
      </c>
      <c r="AE257">
        <f t="shared" si="34"/>
        <v>2025</v>
      </c>
      <c r="AF257">
        <f t="shared" si="35"/>
        <v>10</v>
      </c>
    </row>
    <row r="258" spans="1:32" x14ac:dyDescent="0.25">
      <c r="A258" s="59">
        <v>45734.125</v>
      </c>
      <c r="B258" s="2">
        <v>1244</v>
      </c>
      <c r="C258" s="19" t="s">
        <v>907</v>
      </c>
      <c r="D258" s="19" t="s">
        <v>2</v>
      </c>
      <c r="E258" s="19" t="s">
        <v>2</v>
      </c>
      <c r="F258" s="19" t="s">
        <v>908</v>
      </c>
      <c r="G258" s="19" t="s">
        <v>909</v>
      </c>
      <c r="H258" s="19" t="s">
        <v>910</v>
      </c>
      <c r="I258" s="19" t="s">
        <v>912</v>
      </c>
      <c r="J258" s="2" t="s">
        <v>2</v>
      </c>
      <c r="K258" s="20">
        <v>45735.125</v>
      </c>
      <c r="L258" s="20">
        <v>45735.125</v>
      </c>
      <c r="M258" s="22">
        <v>100</v>
      </c>
      <c r="N258" s="21">
        <v>111000</v>
      </c>
      <c r="O258" s="2" t="s">
        <v>76</v>
      </c>
      <c r="P258" s="2" t="s">
        <v>4</v>
      </c>
      <c r="Q258" s="2" t="s">
        <v>5</v>
      </c>
      <c r="R258" s="21">
        <f t="shared" ref="R258:R321" si="36">IF(Q258="Aceptado",N258,0)</f>
        <v>111000</v>
      </c>
      <c r="S258" s="21">
        <v>111000</v>
      </c>
      <c r="T258" s="5">
        <f t="shared" ref="T258:T321" si="37">IFERROR(+T257+R258-S258,0)</f>
        <v>15000</v>
      </c>
      <c r="U258">
        <f t="shared" ref="U258:U321" si="38">IF(NOT(ISBLANK(K258)),MONTH(K258),"")</f>
        <v>3</v>
      </c>
      <c r="V258">
        <f t="shared" ref="V258:V321" si="39">IF(NOT(ISBLANK(A258)),MONTH(A258),"")</f>
        <v>3</v>
      </c>
      <c r="W258" s="5">
        <f t="shared" ref="W258:W321" si="40">IFERROR(+S258-R258,0)</f>
        <v>0</v>
      </c>
      <c r="X258" s="2" t="s">
        <v>6</v>
      </c>
      <c r="Y258" s="2" t="s">
        <v>2</v>
      </c>
      <c r="Z258">
        <v>823</v>
      </c>
      <c r="AA258" t="s">
        <v>1595</v>
      </c>
      <c r="AC258">
        <f t="shared" ref="AC258:AC321" si="41">IF(NOT(ISBLANK(K258)),YEAR(K258),"")</f>
        <v>2025</v>
      </c>
      <c r="AD258">
        <f t="shared" ref="AD258:AD321" si="42">IF(NOT(ISBLANK(A258)),YEAR(A258),"")</f>
        <v>2025</v>
      </c>
      <c r="AE258">
        <f t="shared" ref="AE258:AE321" si="43">IF(NOT(ISBLANK(L258)),YEAR(L258),"")</f>
        <v>2025</v>
      </c>
      <c r="AF258">
        <f t="shared" ref="AF258:AF321" si="44">IF(NOT(ISBLANK(L258)),MONTH(L258),"")</f>
        <v>3</v>
      </c>
    </row>
    <row r="259" spans="1:32" x14ac:dyDescent="0.25">
      <c r="A259" s="59">
        <v>45734.125</v>
      </c>
      <c r="B259" s="2">
        <v>1245</v>
      </c>
      <c r="C259" s="19" t="s">
        <v>907</v>
      </c>
      <c r="D259" s="19" t="s">
        <v>2</v>
      </c>
      <c r="E259" s="19" t="s">
        <v>2</v>
      </c>
      <c r="F259" s="19" t="s">
        <v>448</v>
      </c>
      <c r="G259" s="19" t="s">
        <v>913</v>
      </c>
      <c r="H259" s="19" t="s">
        <v>914</v>
      </c>
      <c r="I259" s="19" t="s">
        <v>915</v>
      </c>
      <c r="J259" s="2" t="s">
        <v>2</v>
      </c>
      <c r="K259" s="20">
        <v>45736.125</v>
      </c>
      <c r="L259" s="20">
        <v>45736.125</v>
      </c>
      <c r="M259" s="22">
        <v>140</v>
      </c>
      <c r="N259" s="21">
        <v>154000</v>
      </c>
      <c r="O259" s="2" t="s">
        <v>76</v>
      </c>
      <c r="P259" s="2" t="s">
        <v>4</v>
      </c>
      <c r="Q259" s="2" t="s">
        <v>5</v>
      </c>
      <c r="R259" s="21">
        <f t="shared" si="36"/>
        <v>154000</v>
      </c>
      <c r="S259" s="21">
        <v>154000</v>
      </c>
      <c r="T259" s="5">
        <f t="shared" si="37"/>
        <v>15000</v>
      </c>
      <c r="U259">
        <f t="shared" si="38"/>
        <v>3</v>
      </c>
      <c r="V259">
        <f t="shared" si="39"/>
        <v>3</v>
      </c>
      <c r="W259" s="5">
        <f t="shared" si="40"/>
        <v>0</v>
      </c>
      <c r="X259" s="2" t="s">
        <v>6</v>
      </c>
      <c r="Y259" s="2" t="s">
        <v>2</v>
      </c>
      <c r="Z259">
        <v>823</v>
      </c>
      <c r="AA259" t="s">
        <v>1595</v>
      </c>
      <c r="AC259">
        <f t="shared" si="41"/>
        <v>2025</v>
      </c>
      <c r="AD259">
        <f t="shared" si="42"/>
        <v>2025</v>
      </c>
      <c r="AE259">
        <f t="shared" si="43"/>
        <v>2025</v>
      </c>
      <c r="AF259">
        <f t="shared" si="44"/>
        <v>3</v>
      </c>
    </row>
    <row r="260" spans="1:32" x14ac:dyDescent="0.25">
      <c r="A260" s="59">
        <v>45736.125</v>
      </c>
      <c r="B260" s="2">
        <v>1246</v>
      </c>
      <c r="C260" s="19" t="s">
        <v>916</v>
      </c>
      <c r="D260" s="19" t="s">
        <v>2</v>
      </c>
      <c r="E260" s="19" t="s">
        <v>2</v>
      </c>
      <c r="F260" s="19" t="s">
        <v>660</v>
      </c>
      <c r="G260" s="19" t="s">
        <v>917</v>
      </c>
      <c r="H260" s="19" t="s">
        <v>918</v>
      </c>
      <c r="I260" s="19" t="s">
        <v>919</v>
      </c>
      <c r="J260" s="2" t="s">
        <v>2</v>
      </c>
      <c r="K260" s="20">
        <v>45736.125</v>
      </c>
      <c r="L260" s="20">
        <v>45736.125</v>
      </c>
      <c r="M260" s="22">
        <v>130</v>
      </c>
      <c r="N260" s="21">
        <v>156000</v>
      </c>
      <c r="O260" s="2" t="s">
        <v>76</v>
      </c>
      <c r="P260" s="2" t="s">
        <v>4</v>
      </c>
      <c r="Q260" s="2" t="s">
        <v>5</v>
      </c>
      <c r="R260" s="21">
        <f t="shared" si="36"/>
        <v>156000</v>
      </c>
      <c r="S260" s="21">
        <v>156000</v>
      </c>
      <c r="T260" s="5">
        <f t="shared" si="37"/>
        <v>15000</v>
      </c>
      <c r="U260">
        <f t="shared" si="38"/>
        <v>3</v>
      </c>
      <c r="V260">
        <f t="shared" si="39"/>
        <v>3</v>
      </c>
      <c r="W260" s="5">
        <f t="shared" si="40"/>
        <v>0</v>
      </c>
      <c r="X260" s="2" t="s">
        <v>6</v>
      </c>
      <c r="Y260" s="2" t="s">
        <v>2</v>
      </c>
      <c r="Z260">
        <v>824</v>
      </c>
      <c r="AA260" t="s">
        <v>1596</v>
      </c>
      <c r="AC260">
        <f t="shared" si="41"/>
        <v>2025</v>
      </c>
      <c r="AD260">
        <f t="shared" si="42"/>
        <v>2025</v>
      </c>
      <c r="AE260">
        <f t="shared" si="43"/>
        <v>2025</v>
      </c>
      <c r="AF260">
        <f t="shared" si="44"/>
        <v>3</v>
      </c>
    </row>
    <row r="261" spans="1:32" x14ac:dyDescent="0.25">
      <c r="A261" s="59">
        <v>45736.125</v>
      </c>
      <c r="B261" s="2">
        <v>1247</v>
      </c>
      <c r="C261" s="19" t="s">
        <v>916</v>
      </c>
      <c r="D261" s="19" t="s">
        <v>2</v>
      </c>
      <c r="E261" s="19" t="s">
        <v>2</v>
      </c>
      <c r="F261" s="19" t="s">
        <v>660</v>
      </c>
      <c r="G261" s="19" t="s">
        <v>745</v>
      </c>
      <c r="H261" s="19" t="s">
        <v>920</v>
      </c>
      <c r="I261" s="19" t="s">
        <v>921</v>
      </c>
      <c r="J261" s="2" t="s">
        <v>2</v>
      </c>
      <c r="K261" s="20">
        <v>45736.125</v>
      </c>
      <c r="L261" s="20">
        <v>45736.125</v>
      </c>
      <c r="M261" s="22">
        <v>110</v>
      </c>
      <c r="N261" s="21">
        <v>132000</v>
      </c>
      <c r="O261" s="2" t="s">
        <v>76</v>
      </c>
      <c r="P261" s="2" t="s">
        <v>4</v>
      </c>
      <c r="Q261" s="2" t="s">
        <v>5</v>
      </c>
      <c r="R261" s="21">
        <f t="shared" si="36"/>
        <v>132000</v>
      </c>
      <c r="S261" s="21">
        <v>132000</v>
      </c>
      <c r="T261" s="5">
        <f t="shared" si="37"/>
        <v>15000</v>
      </c>
      <c r="U261">
        <f t="shared" si="38"/>
        <v>3</v>
      </c>
      <c r="V261">
        <f t="shared" si="39"/>
        <v>3</v>
      </c>
      <c r="W261" s="5">
        <f t="shared" si="40"/>
        <v>0</v>
      </c>
      <c r="X261" s="2" t="s">
        <v>6</v>
      </c>
      <c r="Y261" s="2" t="s">
        <v>2</v>
      </c>
      <c r="Z261">
        <v>824</v>
      </c>
      <c r="AA261" t="s">
        <v>1596</v>
      </c>
      <c r="AC261">
        <f t="shared" si="41"/>
        <v>2025</v>
      </c>
      <c r="AD261">
        <f t="shared" si="42"/>
        <v>2025</v>
      </c>
      <c r="AE261">
        <f t="shared" si="43"/>
        <v>2025</v>
      </c>
      <c r="AF261">
        <f t="shared" si="44"/>
        <v>3</v>
      </c>
    </row>
    <row r="262" spans="1:32" x14ac:dyDescent="0.25">
      <c r="A262" s="59">
        <v>45741.125</v>
      </c>
      <c r="B262" s="2">
        <v>1248</v>
      </c>
      <c r="C262" s="19" t="s">
        <v>922</v>
      </c>
      <c r="D262" s="19" t="s">
        <v>2</v>
      </c>
      <c r="E262" s="19" t="s">
        <v>2</v>
      </c>
      <c r="F262" s="19" t="s">
        <v>923</v>
      </c>
      <c r="G262" s="19" t="s">
        <v>924</v>
      </c>
      <c r="H262" s="19" t="s">
        <v>925</v>
      </c>
      <c r="I262" s="19" t="s">
        <v>926</v>
      </c>
      <c r="J262" s="2" t="s">
        <v>2</v>
      </c>
      <c r="K262" s="20">
        <v>45748.125</v>
      </c>
      <c r="L262" s="20">
        <v>45756.125</v>
      </c>
      <c r="M262" s="22">
        <v>0</v>
      </c>
      <c r="N262" s="21">
        <v>0</v>
      </c>
      <c r="O262" s="2" t="s">
        <v>76</v>
      </c>
      <c r="P262" s="2" t="s">
        <v>306</v>
      </c>
      <c r="Q262" s="2" t="s">
        <v>5</v>
      </c>
      <c r="R262" s="21">
        <f t="shared" si="36"/>
        <v>0</v>
      </c>
      <c r="S262" s="21">
        <v>0</v>
      </c>
      <c r="T262" s="5">
        <f t="shared" si="37"/>
        <v>15000</v>
      </c>
      <c r="U262">
        <f t="shared" si="38"/>
        <v>4</v>
      </c>
      <c r="V262">
        <f t="shared" si="39"/>
        <v>3</v>
      </c>
      <c r="W262" s="5">
        <f t="shared" si="40"/>
        <v>0</v>
      </c>
      <c r="X262" s="2" t="s">
        <v>6</v>
      </c>
      <c r="Y262" s="2" t="s">
        <v>2</v>
      </c>
      <c r="Z262">
        <v>828</v>
      </c>
      <c r="AC262">
        <f t="shared" si="41"/>
        <v>2025</v>
      </c>
      <c r="AD262">
        <f t="shared" si="42"/>
        <v>2025</v>
      </c>
      <c r="AE262">
        <f t="shared" si="43"/>
        <v>2025</v>
      </c>
      <c r="AF262">
        <f t="shared" si="44"/>
        <v>4</v>
      </c>
    </row>
    <row r="263" spans="1:32" x14ac:dyDescent="0.25">
      <c r="A263" s="59">
        <v>45741.125</v>
      </c>
      <c r="B263" s="2">
        <v>1249</v>
      </c>
      <c r="C263" s="19" t="s">
        <v>922</v>
      </c>
      <c r="D263" s="19" t="s">
        <v>2</v>
      </c>
      <c r="E263" s="19" t="s">
        <v>2</v>
      </c>
      <c r="F263" s="19" t="s">
        <v>927</v>
      </c>
      <c r="G263" s="19" t="s">
        <v>818</v>
      </c>
      <c r="H263" s="19" t="s">
        <v>928</v>
      </c>
      <c r="I263" s="19" t="s">
        <v>929</v>
      </c>
      <c r="J263" s="2" t="s">
        <v>2</v>
      </c>
      <c r="K263" s="20">
        <v>45744.125</v>
      </c>
      <c r="L263" s="20">
        <v>45744.125</v>
      </c>
      <c r="M263" s="22">
        <v>60</v>
      </c>
      <c r="N263" s="21">
        <v>72000</v>
      </c>
      <c r="O263" s="2" t="s">
        <v>76</v>
      </c>
      <c r="P263" s="2" t="s">
        <v>4</v>
      </c>
      <c r="Q263" s="2" t="s">
        <v>5</v>
      </c>
      <c r="R263" s="21">
        <f t="shared" si="36"/>
        <v>72000</v>
      </c>
      <c r="S263" s="21">
        <v>72000</v>
      </c>
      <c r="T263" s="5">
        <f t="shared" si="37"/>
        <v>15000</v>
      </c>
      <c r="U263">
        <f t="shared" si="38"/>
        <v>3</v>
      </c>
      <c r="V263">
        <f t="shared" si="39"/>
        <v>3</v>
      </c>
      <c r="W263" s="5">
        <f t="shared" si="40"/>
        <v>0</v>
      </c>
      <c r="X263" s="2" t="s">
        <v>6</v>
      </c>
      <c r="Y263" s="2" t="s">
        <v>2</v>
      </c>
      <c r="Z263">
        <v>827</v>
      </c>
      <c r="AA263" t="s">
        <v>1597</v>
      </c>
      <c r="AC263">
        <f t="shared" si="41"/>
        <v>2025</v>
      </c>
      <c r="AD263">
        <f t="shared" si="42"/>
        <v>2025</v>
      </c>
      <c r="AE263">
        <f t="shared" si="43"/>
        <v>2025</v>
      </c>
      <c r="AF263">
        <f t="shared" si="44"/>
        <v>3</v>
      </c>
    </row>
    <row r="264" spans="1:32" x14ac:dyDescent="0.25">
      <c r="A264" s="59">
        <v>45741.125</v>
      </c>
      <c r="B264" s="2">
        <v>1250</v>
      </c>
      <c r="C264" s="19" t="s">
        <v>922</v>
      </c>
      <c r="D264" s="19" t="s">
        <v>2</v>
      </c>
      <c r="E264" s="19" t="s">
        <v>2</v>
      </c>
      <c r="F264" s="19" t="s">
        <v>930</v>
      </c>
      <c r="G264" s="19" t="s">
        <v>818</v>
      </c>
      <c r="H264" s="19" t="s">
        <v>931</v>
      </c>
      <c r="I264" s="19" t="s">
        <v>932</v>
      </c>
      <c r="J264" s="2" t="s">
        <v>2</v>
      </c>
      <c r="K264" s="20">
        <v>45744.125</v>
      </c>
      <c r="L264" s="20">
        <v>45744.125</v>
      </c>
      <c r="M264" s="22">
        <v>50</v>
      </c>
      <c r="N264" s="21">
        <v>60000</v>
      </c>
      <c r="O264" s="2" t="s">
        <v>76</v>
      </c>
      <c r="P264" s="2" t="s">
        <v>4</v>
      </c>
      <c r="Q264" s="2" t="s">
        <v>5</v>
      </c>
      <c r="R264" s="21">
        <f t="shared" si="36"/>
        <v>60000</v>
      </c>
      <c r="S264" s="21">
        <v>60000</v>
      </c>
      <c r="T264" s="5">
        <f t="shared" si="37"/>
        <v>15000</v>
      </c>
      <c r="U264">
        <f t="shared" si="38"/>
        <v>3</v>
      </c>
      <c r="V264">
        <f t="shared" si="39"/>
        <v>3</v>
      </c>
      <c r="W264" s="5">
        <f t="shared" si="40"/>
        <v>0</v>
      </c>
      <c r="X264" s="2" t="s">
        <v>6</v>
      </c>
      <c r="Y264" s="2" t="s">
        <v>2</v>
      </c>
      <c r="Z264">
        <v>827</v>
      </c>
      <c r="AA264" t="s">
        <v>1597</v>
      </c>
      <c r="AC264">
        <f t="shared" si="41"/>
        <v>2025</v>
      </c>
      <c r="AD264">
        <f t="shared" si="42"/>
        <v>2025</v>
      </c>
      <c r="AE264">
        <f t="shared" si="43"/>
        <v>2025</v>
      </c>
      <c r="AF264">
        <f t="shared" si="44"/>
        <v>3</v>
      </c>
    </row>
    <row r="265" spans="1:32" x14ac:dyDescent="0.25">
      <c r="A265" s="59">
        <v>45742.125</v>
      </c>
      <c r="B265" s="2">
        <v>1251</v>
      </c>
      <c r="C265" s="19" t="s">
        <v>922</v>
      </c>
      <c r="D265" s="19" t="s">
        <v>2</v>
      </c>
      <c r="E265" s="19" t="s">
        <v>2</v>
      </c>
      <c r="F265" s="19" t="s">
        <v>660</v>
      </c>
      <c r="G265" s="19" t="s">
        <v>917</v>
      </c>
      <c r="H265" s="19" t="s">
        <v>918</v>
      </c>
      <c r="I265" s="19" t="s">
        <v>933</v>
      </c>
      <c r="J265" s="2" t="s">
        <v>2</v>
      </c>
      <c r="K265" s="20">
        <v>45744.125</v>
      </c>
      <c r="L265" s="20">
        <v>45744.125</v>
      </c>
      <c r="M265" s="22">
        <v>130</v>
      </c>
      <c r="N265" s="21">
        <v>156000</v>
      </c>
      <c r="O265" s="2" t="s">
        <v>76</v>
      </c>
      <c r="P265" s="2" t="s">
        <v>4</v>
      </c>
      <c r="Q265" s="2" t="s">
        <v>5</v>
      </c>
      <c r="R265" s="21">
        <f t="shared" si="36"/>
        <v>156000</v>
      </c>
      <c r="S265" s="21">
        <v>156000</v>
      </c>
      <c r="T265" s="5">
        <f t="shared" si="37"/>
        <v>15000</v>
      </c>
      <c r="U265">
        <f t="shared" si="38"/>
        <v>3</v>
      </c>
      <c r="V265">
        <f t="shared" si="39"/>
        <v>3</v>
      </c>
      <c r="W265" s="5">
        <f t="shared" si="40"/>
        <v>0</v>
      </c>
      <c r="X265" s="2" t="s">
        <v>6</v>
      </c>
      <c r="Y265" s="2" t="s">
        <v>2</v>
      </c>
      <c r="Z265">
        <v>827</v>
      </c>
      <c r="AA265" t="s">
        <v>1598</v>
      </c>
      <c r="AC265">
        <f t="shared" si="41"/>
        <v>2025</v>
      </c>
      <c r="AD265">
        <f t="shared" si="42"/>
        <v>2025</v>
      </c>
      <c r="AE265">
        <f t="shared" si="43"/>
        <v>2025</v>
      </c>
      <c r="AF265">
        <f t="shared" si="44"/>
        <v>3</v>
      </c>
    </row>
    <row r="266" spans="1:32" x14ac:dyDescent="0.25">
      <c r="A266" s="59">
        <v>45743.125</v>
      </c>
      <c r="B266" s="2">
        <v>1252</v>
      </c>
      <c r="C266" s="19" t="s">
        <v>161</v>
      </c>
      <c r="D266" s="19" t="s">
        <v>2</v>
      </c>
      <c r="E266" s="19" t="s">
        <v>2</v>
      </c>
      <c r="F266" s="19" t="s">
        <v>934</v>
      </c>
      <c r="G266" s="19" t="s">
        <v>935</v>
      </c>
      <c r="H266" s="19" t="s">
        <v>936</v>
      </c>
      <c r="I266" s="19" t="s">
        <v>937</v>
      </c>
      <c r="J266" s="2" t="s">
        <v>2</v>
      </c>
      <c r="K266" s="20">
        <v>45743.125</v>
      </c>
      <c r="L266" s="20">
        <v>45747.125</v>
      </c>
      <c r="M266" s="22">
        <v>100</v>
      </c>
      <c r="N266" s="21">
        <v>109500</v>
      </c>
      <c r="O266" s="2" t="s">
        <v>76</v>
      </c>
      <c r="P266" s="2" t="s">
        <v>4</v>
      </c>
      <c r="Q266" s="2" t="s">
        <v>5</v>
      </c>
      <c r="R266" s="21">
        <f t="shared" si="36"/>
        <v>109500</v>
      </c>
      <c r="S266" s="21">
        <v>109500</v>
      </c>
      <c r="T266" s="5">
        <f t="shared" si="37"/>
        <v>15000</v>
      </c>
      <c r="U266">
        <f t="shared" si="38"/>
        <v>3</v>
      </c>
      <c r="V266">
        <f t="shared" si="39"/>
        <v>3</v>
      </c>
      <c r="W266" s="5">
        <f t="shared" si="40"/>
        <v>0</v>
      </c>
      <c r="X266" s="2" t="s">
        <v>6</v>
      </c>
      <c r="Y266" s="2" t="s">
        <v>2</v>
      </c>
      <c r="Z266">
        <v>825</v>
      </c>
      <c r="AA266" t="s">
        <v>1599</v>
      </c>
      <c r="AC266">
        <f t="shared" si="41"/>
        <v>2025</v>
      </c>
      <c r="AD266">
        <f t="shared" si="42"/>
        <v>2025</v>
      </c>
      <c r="AE266">
        <f t="shared" si="43"/>
        <v>2025</v>
      </c>
      <c r="AF266">
        <f t="shared" si="44"/>
        <v>3</v>
      </c>
    </row>
    <row r="267" spans="1:32" x14ac:dyDescent="0.25">
      <c r="A267" s="59">
        <v>45747.125</v>
      </c>
      <c r="B267" s="2">
        <v>1253</v>
      </c>
      <c r="C267" s="19" t="s">
        <v>922</v>
      </c>
      <c r="D267" s="19" t="s">
        <v>2</v>
      </c>
      <c r="E267" s="19" t="s">
        <v>2</v>
      </c>
      <c r="F267" s="19" t="s">
        <v>923</v>
      </c>
      <c r="G267" s="19" t="s">
        <v>924</v>
      </c>
      <c r="H267" s="19" t="s">
        <v>925</v>
      </c>
      <c r="I267" s="19" t="s">
        <v>938</v>
      </c>
      <c r="J267" s="2" t="s">
        <v>2</v>
      </c>
      <c r="K267" s="20">
        <v>45751.125</v>
      </c>
      <c r="L267" s="20">
        <v>45751.125</v>
      </c>
      <c r="M267" s="22">
        <v>800</v>
      </c>
      <c r="N267" s="21">
        <v>960000</v>
      </c>
      <c r="O267" s="2" t="s">
        <v>76</v>
      </c>
      <c r="P267" s="2" t="s">
        <v>4</v>
      </c>
      <c r="Q267" s="2" t="s">
        <v>5</v>
      </c>
      <c r="R267" s="21">
        <f t="shared" si="36"/>
        <v>960000</v>
      </c>
      <c r="S267" s="21">
        <v>960000</v>
      </c>
      <c r="T267" s="5">
        <f t="shared" si="37"/>
        <v>15000</v>
      </c>
      <c r="U267">
        <f t="shared" si="38"/>
        <v>4</v>
      </c>
      <c r="V267">
        <f t="shared" si="39"/>
        <v>3</v>
      </c>
      <c r="W267" s="5">
        <f t="shared" si="40"/>
        <v>0</v>
      </c>
      <c r="X267" s="2" t="s">
        <v>6</v>
      </c>
      <c r="Y267" s="2" t="s">
        <v>2</v>
      </c>
      <c r="Z267">
        <v>827</v>
      </c>
      <c r="AA267" t="s">
        <v>1597</v>
      </c>
      <c r="AC267">
        <f t="shared" si="41"/>
        <v>2025</v>
      </c>
      <c r="AD267">
        <f t="shared" si="42"/>
        <v>2025</v>
      </c>
      <c r="AE267">
        <f t="shared" si="43"/>
        <v>2025</v>
      </c>
      <c r="AF267">
        <f t="shared" si="44"/>
        <v>4</v>
      </c>
    </row>
    <row r="268" spans="1:32" x14ac:dyDescent="0.25">
      <c r="A268" s="59">
        <v>45747.125</v>
      </c>
      <c r="B268" s="2">
        <v>1254</v>
      </c>
      <c r="C268" s="19" t="s">
        <v>1</v>
      </c>
      <c r="D268" s="19" t="s">
        <v>2</v>
      </c>
      <c r="E268" s="19" t="s">
        <v>2</v>
      </c>
      <c r="F268" s="19" t="s">
        <v>136</v>
      </c>
      <c r="G268" s="19" t="s">
        <v>137</v>
      </c>
      <c r="H268" s="19" t="s">
        <v>138</v>
      </c>
      <c r="I268" s="19" t="s">
        <v>939</v>
      </c>
      <c r="J268" s="2" t="s">
        <v>2</v>
      </c>
      <c r="K268" s="20">
        <v>45747.125</v>
      </c>
      <c r="L268" s="20">
        <v>45755.125</v>
      </c>
      <c r="M268" s="22">
        <v>140</v>
      </c>
      <c r="N268" s="21">
        <v>167500</v>
      </c>
      <c r="O268" s="2" t="s">
        <v>76</v>
      </c>
      <c r="P268" s="2" t="s">
        <v>4</v>
      </c>
      <c r="Q268" s="2" t="s">
        <v>5</v>
      </c>
      <c r="R268" s="21">
        <f t="shared" si="36"/>
        <v>167500</v>
      </c>
      <c r="S268" s="21">
        <v>167500</v>
      </c>
      <c r="T268" s="5">
        <f t="shared" si="37"/>
        <v>15000</v>
      </c>
      <c r="U268">
        <f t="shared" si="38"/>
        <v>3</v>
      </c>
      <c r="V268">
        <f t="shared" si="39"/>
        <v>3</v>
      </c>
      <c r="W268" s="5">
        <f t="shared" si="40"/>
        <v>0</v>
      </c>
      <c r="X268" s="2" t="s">
        <v>6</v>
      </c>
      <c r="Y268" s="2" t="s">
        <v>2</v>
      </c>
      <c r="Z268">
        <v>826</v>
      </c>
      <c r="AA268" t="s">
        <v>1600</v>
      </c>
      <c r="AC268">
        <f t="shared" si="41"/>
        <v>2025</v>
      </c>
      <c r="AD268">
        <f t="shared" si="42"/>
        <v>2025</v>
      </c>
      <c r="AE268">
        <f t="shared" si="43"/>
        <v>2025</v>
      </c>
      <c r="AF268">
        <f t="shared" si="44"/>
        <v>4</v>
      </c>
    </row>
    <row r="269" spans="1:32" x14ac:dyDescent="0.25">
      <c r="A269" s="59">
        <v>45749.125</v>
      </c>
      <c r="B269" s="2">
        <v>1255</v>
      </c>
      <c r="C269" s="19" t="s">
        <v>367</v>
      </c>
      <c r="D269" s="19" t="s">
        <v>2</v>
      </c>
      <c r="E269" s="19" t="s">
        <v>2</v>
      </c>
      <c r="F269" s="19" t="s">
        <v>106</v>
      </c>
      <c r="G269" s="19" t="s">
        <v>585</v>
      </c>
      <c r="H269" s="19" t="s">
        <v>940</v>
      </c>
      <c r="I269" s="19" t="s">
        <v>941</v>
      </c>
      <c r="J269" s="2" t="s">
        <v>2</v>
      </c>
      <c r="K269" s="20">
        <v>45757.125</v>
      </c>
      <c r="L269" s="20">
        <v>45754.125</v>
      </c>
      <c r="M269" s="22">
        <v>365</v>
      </c>
      <c r="N269" s="21">
        <v>438000</v>
      </c>
      <c r="O269" s="2" t="s">
        <v>76</v>
      </c>
      <c r="P269" s="2" t="s">
        <v>4</v>
      </c>
      <c r="Q269" s="2" t="s">
        <v>5</v>
      </c>
      <c r="R269" s="21">
        <f t="shared" si="36"/>
        <v>438000</v>
      </c>
      <c r="S269" s="21">
        <v>438000</v>
      </c>
      <c r="T269" s="5">
        <f t="shared" si="37"/>
        <v>15000</v>
      </c>
      <c r="U269">
        <f t="shared" si="38"/>
        <v>4</v>
      </c>
      <c r="V269">
        <f t="shared" si="39"/>
        <v>4</v>
      </c>
      <c r="W269" s="5">
        <f t="shared" si="40"/>
        <v>0</v>
      </c>
      <c r="X269" s="2" t="s">
        <v>6</v>
      </c>
      <c r="Y269" s="2" t="s">
        <v>2</v>
      </c>
      <c r="Z269">
        <v>830</v>
      </c>
      <c r="AC269">
        <f t="shared" si="41"/>
        <v>2025</v>
      </c>
      <c r="AD269">
        <f t="shared" si="42"/>
        <v>2025</v>
      </c>
      <c r="AE269">
        <f t="shared" si="43"/>
        <v>2025</v>
      </c>
      <c r="AF269">
        <f t="shared" si="44"/>
        <v>4</v>
      </c>
    </row>
    <row r="270" spans="1:32" x14ac:dyDescent="0.25">
      <c r="A270" s="59">
        <v>45749.125</v>
      </c>
      <c r="B270" s="2">
        <v>1256</v>
      </c>
      <c r="C270" s="19" t="s">
        <v>367</v>
      </c>
      <c r="D270" s="19" t="s">
        <v>2</v>
      </c>
      <c r="E270" s="19" t="s">
        <v>2</v>
      </c>
      <c r="F270" s="19" t="s">
        <v>942</v>
      </c>
      <c r="G270" s="19" t="s">
        <v>107</v>
      </c>
      <c r="H270" s="19" t="s">
        <v>943</v>
      </c>
      <c r="I270" s="19" t="s">
        <v>944</v>
      </c>
      <c r="J270" s="2" t="s">
        <v>2</v>
      </c>
      <c r="K270" s="20">
        <v>45815.125</v>
      </c>
      <c r="L270" s="20">
        <v>45815.125</v>
      </c>
      <c r="M270" s="22">
        <v>0</v>
      </c>
      <c r="N270" s="21">
        <v>0</v>
      </c>
      <c r="O270" s="2" t="s">
        <v>3</v>
      </c>
      <c r="P270" s="2" t="s">
        <v>306</v>
      </c>
      <c r="Q270" s="2" t="s">
        <v>5</v>
      </c>
      <c r="R270" s="21">
        <f t="shared" si="36"/>
        <v>0</v>
      </c>
      <c r="S270" s="21">
        <v>0</v>
      </c>
      <c r="T270" s="5">
        <f t="shared" si="37"/>
        <v>15000</v>
      </c>
      <c r="U270">
        <f t="shared" si="38"/>
        <v>6</v>
      </c>
      <c r="V270">
        <f t="shared" si="39"/>
        <v>4</v>
      </c>
      <c r="W270" s="5">
        <f t="shared" si="40"/>
        <v>0</v>
      </c>
      <c r="X270" s="2" t="s">
        <v>6</v>
      </c>
      <c r="Y270" s="2" t="s">
        <v>2</v>
      </c>
      <c r="AC270">
        <f t="shared" si="41"/>
        <v>2025</v>
      </c>
      <c r="AD270">
        <f t="shared" si="42"/>
        <v>2025</v>
      </c>
      <c r="AE270">
        <f t="shared" si="43"/>
        <v>2025</v>
      </c>
      <c r="AF270">
        <f t="shared" si="44"/>
        <v>6</v>
      </c>
    </row>
    <row r="271" spans="1:32" x14ac:dyDescent="0.25">
      <c r="A271" s="59">
        <v>45749.125</v>
      </c>
      <c r="B271" s="2">
        <v>1257</v>
      </c>
      <c r="C271" s="19" t="s">
        <v>1732</v>
      </c>
      <c r="D271" s="19" t="s">
        <v>2</v>
      </c>
      <c r="E271" s="19" t="s">
        <v>1002</v>
      </c>
      <c r="F271" s="19" t="s">
        <v>106</v>
      </c>
      <c r="G271" s="19" t="s">
        <v>585</v>
      </c>
      <c r="H271" s="19" t="s">
        <v>940</v>
      </c>
      <c r="I271" s="19" t="s">
        <v>945</v>
      </c>
      <c r="J271" s="2" t="s">
        <v>2</v>
      </c>
      <c r="K271" s="20">
        <v>45775.125</v>
      </c>
      <c r="L271" s="20">
        <v>45763.125</v>
      </c>
      <c r="M271" s="22">
        <v>380</v>
      </c>
      <c r="N271" s="21">
        <v>456000</v>
      </c>
      <c r="O271" s="2" t="s">
        <v>76</v>
      </c>
      <c r="P271" s="2" t="s">
        <v>4</v>
      </c>
      <c r="Q271" s="2" t="s">
        <v>5</v>
      </c>
      <c r="R271" s="21">
        <f t="shared" si="36"/>
        <v>456000</v>
      </c>
      <c r="S271" s="21">
        <v>456000</v>
      </c>
      <c r="T271" s="5">
        <f t="shared" si="37"/>
        <v>15000</v>
      </c>
      <c r="U271">
        <f t="shared" si="38"/>
        <v>4</v>
      </c>
      <c r="V271">
        <f t="shared" si="39"/>
        <v>4</v>
      </c>
      <c r="W271" s="5">
        <f t="shared" si="40"/>
        <v>0</v>
      </c>
      <c r="X271" s="2" t="s">
        <v>6</v>
      </c>
      <c r="Y271" s="2" t="s">
        <v>2</v>
      </c>
      <c r="Z271">
        <v>843</v>
      </c>
      <c r="AA271" t="s">
        <v>1601</v>
      </c>
      <c r="AC271">
        <f t="shared" si="41"/>
        <v>2025</v>
      </c>
      <c r="AD271">
        <f t="shared" si="42"/>
        <v>2025</v>
      </c>
      <c r="AE271">
        <f t="shared" si="43"/>
        <v>2025</v>
      </c>
      <c r="AF271">
        <f t="shared" si="44"/>
        <v>4</v>
      </c>
    </row>
    <row r="272" spans="1:32" x14ac:dyDescent="0.25">
      <c r="A272" s="59">
        <v>45749.125</v>
      </c>
      <c r="B272" s="2">
        <v>1258</v>
      </c>
      <c r="C272" s="19" t="s">
        <v>1732</v>
      </c>
      <c r="D272" s="19" t="s">
        <v>2</v>
      </c>
      <c r="E272" s="19" t="s">
        <v>1003</v>
      </c>
      <c r="F272" s="19" t="s">
        <v>106</v>
      </c>
      <c r="G272" s="19" t="s">
        <v>107</v>
      </c>
      <c r="H272" s="19" t="s">
        <v>265</v>
      </c>
      <c r="I272" s="19" t="s">
        <v>946</v>
      </c>
      <c r="J272" s="2" t="s">
        <v>2</v>
      </c>
      <c r="K272" s="20">
        <v>45769.125</v>
      </c>
      <c r="L272" s="20">
        <v>45763.125</v>
      </c>
      <c r="M272" s="22">
        <v>365</v>
      </c>
      <c r="N272" s="21">
        <v>438000</v>
      </c>
      <c r="O272" s="2" t="s">
        <v>76</v>
      </c>
      <c r="P272" s="2" t="s">
        <v>4</v>
      </c>
      <c r="Q272" s="2" t="s">
        <v>5</v>
      </c>
      <c r="R272" s="21">
        <f t="shared" si="36"/>
        <v>438000</v>
      </c>
      <c r="S272" s="21">
        <v>438000</v>
      </c>
      <c r="T272" s="5">
        <f t="shared" si="37"/>
        <v>15000</v>
      </c>
      <c r="U272">
        <f t="shared" si="38"/>
        <v>4</v>
      </c>
      <c r="V272">
        <f t="shared" si="39"/>
        <v>4</v>
      </c>
      <c r="W272" s="5">
        <f t="shared" si="40"/>
        <v>0</v>
      </c>
      <c r="X272" s="2" t="s">
        <v>6</v>
      </c>
      <c r="Y272" s="2" t="s">
        <v>2</v>
      </c>
      <c r="Z272">
        <v>837</v>
      </c>
      <c r="AA272" t="s">
        <v>1602</v>
      </c>
      <c r="AC272">
        <f t="shared" si="41"/>
        <v>2025</v>
      </c>
      <c r="AD272">
        <f t="shared" si="42"/>
        <v>2025</v>
      </c>
      <c r="AE272">
        <f t="shared" si="43"/>
        <v>2025</v>
      </c>
      <c r="AF272">
        <f t="shared" si="44"/>
        <v>4</v>
      </c>
    </row>
    <row r="273" spans="1:32" x14ac:dyDescent="0.25">
      <c r="A273" s="59">
        <v>45749.125</v>
      </c>
      <c r="B273" s="2">
        <v>1259</v>
      </c>
      <c r="C273" s="19" t="s">
        <v>1732</v>
      </c>
      <c r="D273" s="19" t="s">
        <v>2</v>
      </c>
      <c r="E273" s="19" t="s">
        <v>1003</v>
      </c>
      <c r="F273" s="19" t="s">
        <v>947</v>
      </c>
      <c r="G273" s="19" t="s">
        <v>948</v>
      </c>
      <c r="H273" s="19" t="s">
        <v>949</v>
      </c>
      <c r="I273" s="19" t="s">
        <v>950</v>
      </c>
      <c r="J273" s="2" t="s">
        <v>2</v>
      </c>
      <c r="K273" s="20">
        <v>45775.125</v>
      </c>
      <c r="L273" s="20">
        <v>45763.125</v>
      </c>
      <c r="M273" s="22">
        <v>62</v>
      </c>
      <c r="N273" s="21">
        <v>75000</v>
      </c>
      <c r="O273" s="2" t="s">
        <v>76</v>
      </c>
      <c r="P273" s="2" t="s">
        <v>4</v>
      </c>
      <c r="Q273" s="2" t="s">
        <v>5</v>
      </c>
      <c r="R273" s="21">
        <f t="shared" si="36"/>
        <v>75000</v>
      </c>
      <c r="S273" s="21">
        <v>75000</v>
      </c>
      <c r="T273" s="5">
        <f t="shared" si="37"/>
        <v>15000</v>
      </c>
      <c r="U273">
        <f t="shared" si="38"/>
        <v>4</v>
      </c>
      <c r="V273">
        <f t="shared" si="39"/>
        <v>4</v>
      </c>
      <c r="W273" s="5">
        <f t="shared" si="40"/>
        <v>0</v>
      </c>
      <c r="X273" s="2" t="s">
        <v>6</v>
      </c>
      <c r="Y273" s="2" t="s">
        <v>2</v>
      </c>
      <c r="Z273">
        <v>844</v>
      </c>
      <c r="AA273" t="s">
        <v>1602</v>
      </c>
      <c r="AC273">
        <f t="shared" si="41"/>
        <v>2025</v>
      </c>
      <c r="AD273">
        <f t="shared" si="42"/>
        <v>2025</v>
      </c>
      <c r="AE273">
        <f t="shared" si="43"/>
        <v>2025</v>
      </c>
      <c r="AF273">
        <f t="shared" si="44"/>
        <v>4</v>
      </c>
    </row>
    <row r="274" spans="1:32" x14ac:dyDescent="0.25">
      <c r="A274" s="59">
        <v>45753.125</v>
      </c>
      <c r="B274" s="2">
        <v>1260</v>
      </c>
      <c r="C274" s="19" t="s">
        <v>0</v>
      </c>
      <c r="D274" s="19" t="s">
        <v>111</v>
      </c>
      <c r="E274" s="19" t="s">
        <v>395</v>
      </c>
      <c r="F274" s="19" t="s">
        <v>951</v>
      </c>
      <c r="G274" s="19" t="s">
        <v>952</v>
      </c>
      <c r="H274" s="19" t="s">
        <v>953</v>
      </c>
      <c r="I274" s="19" t="s">
        <v>954</v>
      </c>
      <c r="J274" s="2" t="s">
        <v>2</v>
      </c>
      <c r="K274" s="20">
        <v>45751.125</v>
      </c>
      <c r="L274" s="20">
        <v>45764.125</v>
      </c>
      <c r="M274" s="22">
        <v>0</v>
      </c>
      <c r="N274" s="21">
        <v>66400</v>
      </c>
      <c r="O274" s="2" t="s">
        <v>76</v>
      </c>
      <c r="P274" s="2" t="s">
        <v>4</v>
      </c>
      <c r="Q274" s="2" t="s">
        <v>5</v>
      </c>
      <c r="R274" s="21">
        <f t="shared" si="36"/>
        <v>66400</v>
      </c>
      <c r="S274" s="21">
        <v>66400</v>
      </c>
      <c r="T274" s="5">
        <f t="shared" si="37"/>
        <v>15000</v>
      </c>
      <c r="U274">
        <f t="shared" si="38"/>
        <v>4</v>
      </c>
      <c r="V274">
        <f t="shared" si="39"/>
        <v>4</v>
      </c>
      <c r="W274" s="5">
        <f t="shared" si="40"/>
        <v>0</v>
      </c>
      <c r="X274" s="2" t="s">
        <v>6</v>
      </c>
      <c r="Y274" s="2" t="s">
        <v>2</v>
      </c>
      <c r="AA274" t="s">
        <v>1603</v>
      </c>
      <c r="AC274">
        <f t="shared" si="41"/>
        <v>2025</v>
      </c>
      <c r="AD274">
        <f t="shared" si="42"/>
        <v>2025</v>
      </c>
      <c r="AE274">
        <f t="shared" si="43"/>
        <v>2025</v>
      </c>
      <c r="AF274">
        <f t="shared" si="44"/>
        <v>4</v>
      </c>
    </row>
    <row r="275" spans="1:32" x14ac:dyDescent="0.25">
      <c r="A275" s="59">
        <v>45754.125</v>
      </c>
      <c r="B275" s="2">
        <v>1261</v>
      </c>
      <c r="C275" s="19" t="s">
        <v>206</v>
      </c>
      <c r="D275" s="19" t="s">
        <v>2</v>
      </c>
      <c r="E275" s="19" t="s">
        <v>2</v>
      </c>
      <c r="F275" s="19" t="s">
        <v>955</v>
      </c>
      <c r="G275" s="19" t="s">
        <v>956</v>
      </c>
      <c r="H275" s="19" t="s">
        <v>957</v>
      </c>
      <c r="I275" s="19" t="s">
        <v>958</v>
      </c>
      <c r="J275" s="2" t="s">
        <v>2</v>
      </c>
      <c r="K275" s="20">
        <v>45754.125</v>
      </c>
      <c r="L275" s="20">
        <v>45756.125</v>
      </c>
      <c r="M275" s="22">
        <v>80</v>
      </c>
      <c r="N275" s="21">
        <v>96000</v>
      </c>
      <c r="O275" s="2" t="s">
        <v>76</v>
      </c>
      <c r="P275" s="2" t="s">
        <v>4</v>
      </c>
      <c r="Q275" s="2" t="s">
        <v>5</v>
      </c>
      <c r="R275" s="21">
        <f t="shared" si="36"/>
        <v>96000</v>
      </c>
      <c r="S275" s="21">
        <v>96000</v>
      </c>
      <c r="T275" s="5">
        <f t="shared" si="37"/>
        <v>15000</v>
      </c>
      <c r="U275">
        <f t="shared" si="38"/>
        <v>4</v>
      </c>
      <c r="V275">
        <f t="shared" si="39"/>
        <v>4</v>
      </c>
      <c r="W275" s="5">
        <f t="shared" si="40"/>
        <v>0</v>
      </c>
      <c r="X275" s="2" t="s">
        <v>6</v>
      </c>
      <c r="Y275" s="2" t="s">
        <v>2</v>
      </c>
      <c r="Z275">
        <v>829</v>
      </c>
      <c r="AA275" t="s">
        <v>1604</v>
      </c>
      <c r="AC275">
        <f t="shared" si="41"/>
        <v>2025</v>
      </c>
      <c r="AD275">
        <f t="shared" si="42"/>
        <v>2025</v>
      </c>
      <c r="AE275">
        <f t="shared" si="43"/>
        <v>2025</v>
      </c>
      <c r="AF275">
        <f t="shared" si="44"/>
        <v>4</v>
      </c>
    </row>
    <row r="276" spans="1:32" x14ac:dyDescent="0.25">
      <c r="A276" s="59">
        <v>45754.125</v>
      </c>
      <c r="B276" s="2">
        <v>1262</v>
      </c>
      <c r="C276" s="19" t="s">
        <v>536</v>
      </c>
      <c r="D276" s="19" t="s">
        <v>2</v>
      </c>
      <c r="E276" s="19" t="s">
        <v>2</v>
      </c>
      <c r="F276" s="19" t="s">
        <v>86</v>
      </c>
      <c r="G276" s="19" t="s">
        <v>87</v>
      </c>
      <c r="H276" s="19" t="s">
        <v>959</v>
      </c>
      <c r="I276" s="19" t="s">
        <v>960</v>
      </c>
      <c r="J276" s="2" t="s">
        <v>2</v>
      </c>
      <c r="K276" s="20">
        <v>45757.125</v>
      </c>
      <c r="L276" s="20">
        <v>45757.125</v>
      </c>
      <c r="M276" s="22">
        <v>195</v>
      </c>
      <c r="N276" s="21">
        <v>243700</v>
      </c>
      <c r="O276" s="2" t="s">
        <v>76</v>
      </c>
      <c r="P276" s="2" t="s">
        <v>4</v>
      </c>
      <c r="Q276" s="2" t="s">
        <v>5</v>
      </c>
      <c r="R276" s="21">
        <f t="shared" si="36"/>
        <v>243700</v>
      </c>
      <c r="S276" s="21">
        <v>243700</v>
      </c>
      <c r="T276" s="5">
        <f t="shared" si="37"/>
        <v>15000</v>
      </c>
      <c r="U276">
        <f t="shared" si="38"/>
        <v>4</v>
      </c>
      <c r="V276">
        <f t="shared" si="39"/>
        <v>4</v>
      </c>
      <c r="W276" s="5">
        <f t="shared" si="40"/>
        <v>0</v>
      </c>
      <c r="X276" s="2" t="s">
        <v>6</v>
      </c>
      <c r="Y276" s="2" t="s">
        <v>2</v>
      </c>
      <c r="Z276">
        <v>831</v>
      </c>
      <c r="AA276" t="s">
        <v>1605</v>
      </c>
      <c r="AC276">
        <f t="shared" si="41"/>
        <v>2025</v>
      </c>
      <c r="AD276">
        <f t="shared" si="42"/>
        <v>2025</v>
      </c>
      <c r="AE276">
        <f t="shared" si="43"/>
        <v>2025</v>
      </c>
      <c r="AF276">
        <f t="shared" si="44"/>
        <v>4</v>
      </c>
    </row>
    <row r="277" spans="1:32" x14ac:dyDescent="0.25">
      <c r="A277" s="59">
        <v>45761.125</v>
      </c>
      <c r="B277" s="2">
        <v>1263</v>
      </c>
      <c r="C277" s="19" t="s">
        <v>961</v>
      </c>
      <c r="D277" s="19" t="s">
        <v>2</v>
      </c>
      <c r="E277" s="19" t="s">
        <v>2</v>
      </c>
      <c r="F277" s="19" t="s">
        <v>962</v>
      </c>
      <c r="G277" s="19" t="s">
        <v>260</v>
      </c>
      <c r="H277" s="19" t="s">
        <v>963</v>
      </c>
      <c r="I277" s="19" t="s">
        <v>964</v>
      </c>
      <c r="J277" s="2" t="s">
        <v>2</v>
      </c>
      <c r="K277" s="20">
        <v>45768.125</v>
      </c>
      <c r="L277" s="20">
        <v>45764.125</v>
      </c>
      <c r="M277" s="22">
        <v>200</v>
      </c>
      <c r="N277" s="21">
        <v>250000</v>
      </c>
      <c r="O277" s="2" t="s">
        <v>76</v>
      </c>
      <c r="P277" s="2" t="s">
        <v>4</v>
      </c>
      <c r="Q277" s="2" t="s">
        <v>5</v>
      </c>
      <c r="R277" s="21">
        <f t="shared" si="36"/>
        <v>250000</v>
      </c>
      <c r="S277" s="21">
        <v>250000</v>
      </c>
      <c r="T277" s="5">
        <f t="shared" si="37"/>
        <v>15000</v>
      </c>
      <c r="U277">
        <f t="shared" si="38"/>
        <v>4</v>
      </c>
      <c r="V277">
        <f t="shared" si="39"/>
        <v>4</v>
      </c>
      <c r="W277" s="5">
        <f t="shared" si="40"/>
        <v>0</v>
      </c>
      <c r="X277" s="2" t="s">
        <v>6</v>
      </c>
      <c r="Y277" s="2" t="s">
        <v>2</v>
      </c>
      <c r="Z277">
        <v>836</v>
      </c>
      <c r="AC277">
        <f t="shared" si="41"/>
        <v>2025</v>
      </c>
      <c r="AD277">
        <f t="shared" si="42"/>
        <v>2025</v>
      </c>
      <c r="AE277">
        <f t="shared" si="43"/>
        <v>2025</v>
      </c>
      <c r="AF277">
        <f t="shared" si="44"/>
        <v>4</v>
      </c>
    </row>
    <row r="278" spans="1:32" x14ac:dyDescent="0.25">
      <c r="A278" s="59">
        <v>45762.125</v>
      </c>
      <c r="B278" s="2">
        <v>1264</v>
      </c>
      <c r="C278" s="19" t="s">
        <v>965</v>
      </c>
      <c r="D278" s="19" t="s">
        <v>2</v>
      </c>
      <c r="E278" s="19" t="s">
        <v>2</v>
      </c>
      <c r="F278" s="19" t="s">
        <v>966</v>
      </c>
      <c r="G278" s="19" t="s">
        <v>967</v>
      </c>
      <c r="H278" s="19" t="s">
        <v>968</v>
      </c>
      <c r="I278" s="19" t="s">
        <v>969</v>
      </c>
      <c r="J278" s="2" t="s">
        <v>2</v>
      </c>
      <c r="K278" s="20">
        <v>45762.125</v>
      </c>
      <c r="L278" s="20">
        <v>45763.125</v>
      </c>
      <c r="M278" s="22">
        <v>300</v>
      </c>
      <c r="N278" s="21">
        <v>369000</v>
      </c>
      <c r="O278" s="2" t="s">
        <v>76</v>
      </c>
      <c r="P278" s="2" t="s">
        <v>4</v>
      </c>
      <c r="Q278" s="2" t="s">
        <v>5</v>
      </c>
      <c r="R278" s="21">
        <f t="shared" si="36"/>
        <v>369000</v>
      </c>
      <c r="S278" s="21">
        <v>369000</v>
      </c>
      <c r="T278" s="5">
        <f t="shared" si="37"/>
        <v>15000</v>
      </c>
      <c r="U278">
        <f t="shared" si="38"/>
        <v>4</v>
      </c>
      <c r="V278">
        <f t="shared" si="39"/>
        <v>4</v>
      </c>
      <c r="W278" s="5">
        <f t="shared" si="40"/>
        <v>0</v>
      </c>
      <c r="X278" s="2" t="s">
        <v>6</v>
      </c>
      <c r="Y278" s="2" t="s">
        <v>2</v>
      </c>
      <c r="Z278">
        <v>833</v>
      </c>
      <c r="AC278">
        <f t="shared" si="41"/>
        <v>2025</v>
      </c>
      <c r="AD278">
        <f t="shared" si="42"/>
        <v>2025</v>
      </c>
      <c r="AE278">
        <f t="shared" si="43"/>
        <v>2025</v>
      </c>
      <c r="AF278">
        <f t="shared" si="44"/>
        <v>4</v>
      </c>
    </row>
    <row r="279" spans="1:32" x14ac:dyDescent="0.25">
      <c r="A279" s="59">
        <v>45763.125</v>
      </c>
      <c r="B279" s="2">
        <v>1265</v>
      </c>
      <c r="C279" s="19" t="s">
        <v>0</v>
      </c>
      <c r="D279" s="19" t="s">
        <v>111</v>
      </c>
      <c r="E279" s="19" t="s">
        <v>2</v>
      </c>
      <c r="F279" s="19" t="s">
        <v>970</v>
      </c>
      <c r="G279" s="19" t="s">
        <v>163</v>
      </c>
      <c r="H279" s="19" t="s">
        <v>971</v>
      </c>
      <c r="I279" s="19" t="s">
        <v>972</v>
      </c>
      <c r="J279" s="2" t="s">
        <v>973</v>
      </c>
      <c r="K279" s="20">
        <v>45777.125</v>
      </c>
      <c r="L279" s="20">
        <v>45777.125</v>
      </c>
      <c r="M279" s="22">
        <v>0</v>
      </c>
      <c r="N279" s="21">
        <v>0</v>
      </c>
      <c r="O279" s="2" t="s">
        <v>76</v>
      </c>
      <c r="P279" s="2" t="s">
        <v>145</v>
      </c>
      <c r="Q279" s="2" t="s">
        <v>146</v>
      </c>
      <c r="R279" s="21">
        <f t="shared" si="36"/>
        <v>0</v>
      </c>
      <c r="S279" s="21">
        <v>0</v>
      </c>
      <c r="T279" s="5">
        <f t="shared" si="37"/>
        <v>15000</v>
      </c>
      <c r="U279">
        <f t="shared" si="38"/>
        <v>4</v>
      </c>
      <c r="V279">
        <f t="shared" si="39"/>
        <v>4</v>
      </c>
      <c r="W279" s="5">
        <f t="shared" si="40"/>
        <v>0</v>
      </c>
      <c r="X279" s="2" t="s">
        <v>6</v>
      </c>
      <c r="Y279" s="2" t="s">
        <v>2</v>
      </c>
      <c r="AC279">
        <f t="shared" si="41"/>
        <v>2025</v>
      </c>
      <c r="AD279">
        <f t="shared" si="42"/>
        <v>2025</v>
      </c>
      <c r="AE279">
        <f t="shared" si="43"/>
        <v>2025</v>
      </c>
      <c r="AF279">
        <f t="shared" si="44"/>
        <v>4</v>
      </c>
    </row>
    <row r="280" spans="1:32" x14ac:dyDescent="0.25">
      <c r="A280" s="59">
        <v>45768.125</v>
      </c>
      <c r="B280" s="2">
        <v>1266</v>
      </c>
      <c r="C280" s="19" t="s">
        <v>263</v>
      </c>
      <c r="D280" s="19" t="s">
        <v>2</v>
      </c>
      <c r="E280" s="19" t="s">
        <v>2</v>
      </c>
      <c r="F280" s="19" t="s">
        <v>106</v>
      </c>
      <c r="G280" s="19" t="s">
        <v>107</v>
      </c>
      <c r="H280" s="19" t="s">
        <v>265</v>
      </c>
      <c r="I280" s="19" t="s">
        <v>266</v>
      </c>
      <c r="J280" s="2" t="s">
        <v>2</v>
      </c>
      <c r="K280" s="20">
        <v>45768.125</v>
      </c>
      <c r="L280" s="20">
        <v>45769.125</v>
      </c>
      <c r="M280" s="22">
        <v>183.5</v>
      </c>
      <c r="N280" s="21">
        <v>202000</v>
      </c>
      <c r="O280" s="2" t="s">
        <v>76</v>
      </c>
      <c r="P280" s="2" t="s">
        <v>4</v>
      </c>
      <c r="Q280" s="2" t="s">
        <v>5</v>
      </c>
      <c r="R280" s="21">
        <f t="shared" si="36"/>
        <v>202000</v>
      </c>
      <c r="S280" s="21">
        <v>202000</v>
      </c>
      <c r="T280" s="5">
        <f t="shared" si="37"/>
        <v>15000</v>
      </c>
      <c r="U280">
        <f t="shared" si="38"/>
        <v>4</v>
      </c>
      <c r="V280">
        <f t="shared" si="39"/>
        <v>4</v>
      </c>
      <c r="W280" s="5">
        <f t="shared" si="40"/>
        <v>0</v>
      </c>
      <c r="X280" s="2" t="s">
        <v>6</v>
      </c>
      <c r="Y280" s="2" t="s">
        <v>2</v>
      </c>
      <c r="Z280">
        <v>834</v>
      </c>
      <c r="AC280">
        <f t="shared" si="41"/>
        <v>2025</v>
      </c>
      <c r="AD280">
        <f t="shared" si="42"/>
        <v>2025</v>
      </c>
      <c r="AE280">
        <f t="shared" si="43"/>
        <v>2025</v>
      </c>
      <c r="AF280">
        <f t="shared" si="44"/>
        <v>4</v>
      </c>
    </row>
    <row r="281" spans="1:32" x14ac:dyDescent="0.25">
      <c r="A281" s="59">
        <v>45768.125</v>
      </c>
      <c r="B281" s="2">
        <v>1267</v>
      </c>
      <c r="C281" s="19" t="s">
        <v>367</v>
      </c>
      <c r="D281" s="19" t="s">
        <v>2</v>
      </c>
      <c r="E281" s="19" t="s">
        <v>2</v>
      </c>
      <c r="F281" s="19" t="s">
        <v>106</v>
      </c>
      <c r="G281" s="19" t="s">
        <v>585</v>
      </c>
      <c r="H281" s="19" t="s">
        <v>940</v>
      </c>
      <c r="I281" s="19" t="s">
        <v>974</v>
      </c>
      <c r="J281" s="2" t="s">
        <v>2</v>
      </c>
      <c r="K281" s="20">
        <v>45768.125</v>
      </c>
      <c r="L281" s="20">
        <v>45771.125</v>
      </c>
      <c r="M281" s="22">
        <v>400</v>
      </c>
      <c r="N281" s="21">
        <v>439500</v>
      </c>
      <c r="O281" s="2" t="s">
        <v>76</v>
      </c>
      <c r="P281" s="2" t="s">
        <v>4</v>
      </c>
      <c r="Q281" s="2" t="s">
        <v>5</v>
      </c>
      <c r="R281" s="21">
        <f t="shared" si="36"/>
        <v>439500</v>
      </c>
      <c r="S281" s="21">
        <v>439500</v>
      </c>
      <c r="T281" s="5">
        <f t="shared" si="37"/>
        <v>15000</v>
      </c>
      <c r="U281">
        <f t="shared" si="38"/>
        <v>4</v>
      </c>
      <c r="V281">
        <f t="shared" si="39"/>
        <v>4</v>
      </c>
      <c r="W281" s="5">
        <f t="shared" si="40"/>
        <v>0</v>
      </c>
      <c r="X281" s="2" t="s">
        <v>6</v>
      </c>
      <c r="Y281" s="2" t="s">
        <v>2</v>
      </c>
      <c r="Z281">
        <v>838</v>
      </c>
      <c r="AA281" t="s">
        <v>1606</v>
      </c>
      <c r="AC281">
        <f t="shared" si="41"/>
        <v>2025</v>
      </c>
      <c r="AD281">
        <f t="shared" si="42"/>
        <v>2025</v>
      </c>
      <c r="AE281">
        <f t="shared" si="43"/>
        <v>2025</v>
      </c>
      <c r="AF281">
        <f t="shared" si="44"/>
        <v>4</v>
      </c>
    </row>
    <row r="282" spans="1:32" x14ac:dyDescent="0.25">
      <c r="A282" s="59">
        <v>45768.125</v>
      </c>
      <c r="B282" s="2">
        <v>1268</v>
      </c>
      <c r="C282" s="19" t="s">
        <v>975</v>
      </c>
      <c r="D282" s="19" t="s">
        <v>2</v>
      </c>
      <c r="E282" s="19" t="s">
        <v>2</v>
      </c>
      <c r="F282" s="19" t="s">
        <v>976</v>
      </c>
      <c r="G282" s="19" t="s">
        <v>977</v>
      </c>
      <c r="H282" s="19" t="s">
        <v>978</v>
      </c>
      <c r="I282" s="19" t="s">
        <v>979</v>
      </c>
      <c r="J282" s="2" t="s">
        <v>2</v>
      </c>
      <c r="K282" s="20">
        <v>45768.125</v>
      </c>
      <c r="L282" s="20">
        <v>45769.125</v>
      </c>
      <c r="M282" s="22">
        <v>150</v>
      </c>
      <c r="N282" s="21">
        <v>167000</v>
      </c>
      <c r="O282" s="2" t="s">
        <v>76</v>
      </c>
      <c r="P282" s="2" t="s">
        <v>4</v>
      </c>
      <c r="Q282" s="2" t="s">
        <v>5</v>
      </c>
      <c r="R282" s="21">
        <f t="shared" si="36"/>
        <v>167000</v>
      </c>
      <c r="S282" s="21">
        <v>167000</v>
      </c>
      <c r="T282" s="5">
        <f t="shared" si="37"/>
        <v>15000</v>
      </c>
      <c r="U282">
        <f t="shared" si="38"/>
        <v>4</v>
      </c>
      <c r="V282">
        <f t="shared" si="39"/>
        <v>4</v>
      </c>
      <c r="W282" s="5">
        <f t="shared" si="40"/>
        <v>0</v>
      </c>
      <c r="X282" s="2" t="s">
        <v>6</v>
      </c>
      <c r="Y282" s="2" t="s">
        <v>2</v>
      </c>
      <c r="Z282">
        <v>835</v>
      </c>
      <c r="AC282">
        <f t="shared" si="41"/>
        <v>2025</v>
      </c>
      <c r="AD282">
        <f t="shared" si="42"/>
        <v>2025</v>
      </c>
      <c r="AE282">
        <f t="shared" si="43"/>
        <v>2025</v>
      </c>
      <c r="AF282">
        <f t="shared" si="44"/>
        <v>4</v>
      </c>
    </row>
    <row r="283" spans="1:32" x14ac:dyDescent="0.25">
      <c r="A283" s="59">
        <v>45770.125</v>
      </c>
      <c r="B283" s="2">
        <v>1269</v>
      </c>
      <c r="C283" s="19" t="s">
        <v>401</v>
      </c>
      <c r="D283" s="19" t="s">
        <v>2</v>
      </c>
      <c r="E283" s="19" t="s">
        <v>2</v>
      </c>
      <c r="F283" s="19" t="s">
        <v>106</v>
      </c>
      <c r="G283" s="19" t="s">
        <v>107</v>
      </c>
      <c r="H283" s="19" t="s">
        <v>980</v>
      </c>
      <c r="I283" s="19" t="s">
        <v>981</v>
      </c>
      <c r="J283" s="2" t="s">
        <v>2</v>
      </c>
      <c r="K283" s="20">
        <v>45815.125</v>
      </c>
      <c r="L283" s="20">
        <v>45815.125</v>
      </c>
      <c r="M283" s="22">
        <v>600</v>
      </c>
      <c r="N283" s="21">
        <v>702000</v>
      </c>
      <c r="O283" s="2" t="s">
        <v>76</v>
      </c>
      <c r="P283" s="2" t="s">
        <v>145</v>
      </c>
      <c r="Q283" s="2" t="s">
        <v>146</v>
      </c>
      <c r="R283" s="21">
        <f t="shared" si="36"/>
        <v>0</v>
      </c>
      <c r="S283" s="21">
        <v>0</v>
      </c>
      <c r="T283" s="5">
        <f t="shared" si="37"/>
        <v>15000</v>
      </c>
      <c r="U283">
        <f t="shared" si="38"/>
        <v>6</v>
      </c>
      <c r="V283">
        <f t="shared" si="39"/>
        <v>4</v>
      </c>
      <c r="W283" s="5">
        <f t="shared" si="40"/>
        <v>0</v>
      </c>
      <c r="X283" s="2" t="s">
        <v>6</v>
      </c>
      <c r="Y283" s="2" t="s">
        <v>2</v>
      </c>
      <c r="AC283">
        <f t="shared" si="41"/>
        <v>2025</v>
      </c>
      <c r="AD283">
        <f t="shared" si="42"/>
        <v>2025</v>
      </c>
      <c r="AE283">
        <f t="shared" si="43"/>
        <v>2025</v>
      </c>
      <c r="AF283">
        <f t="shared" si="44"/>
        <v>6</v>
      </c>
    </row>
    <row r="284" spans="1:32" x14ac:dyDescent="0.25">
      <c r="A284" s="59">
        <v>45770.125</v>
      </c>
      <c r="B284" s="2">
        <v>1270</v>
      </c>
      <c r="C284" s="19" t="s">
        <v>1</v>
      </c>
      <c r="D284" s="19" t="s">
        <v>2</v>
      </c>
      <c r="E284" s="19" t="s">
        <v>2</v>
      </c>
      <c r="F284" s="19" t="s">
        <v>136</v>
      </c>
      <c r="G284" s="19" t="s">
        <v>137</v>
      </c>
      <c r="H284" s="19" t="s">
        <v>982</v>
      </c>
      <c r="I284" s="19" t="s">
        <v>983</v>
      </c>
      <c r="J284" s="2" t="s">
        <v>2</v>
      </c>
      <c r="K284" s="20">
        <v>45770.125</v>
      </c>
      <c r="L284" s="20">
        <v>45770.125</v>
      </c>
      <c r="M284" s="22">
        <v>140</v>
      </c>
      <c r="N284" s="21">
        <v>167500</v>
      </c>
      <c r="O284" s="2" t="s">
        <v>76</v>
      </c>
      <c r="P284" s="2" t="s">
        <v>4</v>
      </c>
      <c r="Q284" s="2" t="s">
        <v>5</v>
      </c>
      <c r="R284" s="21">
        <f t="shared" si="36"/>
        <v>167500</v>
      </c>
      <c r="S284" s="21">
        <v>167500</v>
      </c>
      <c r="T284" s="5">
        <f t="shared" si="37"/>
        <v>15000</v>
      </c>
      <c r="U284">
        <f t="shared" si="38"/>
        <v>4</v>
      </c>
      <c r="V284">
        <f t="shared" si="39"/>
        <v>4</v>
      </c>
      <c r="W284" s="5">
        <f t="shared" si="40"/>
        <v>0</v>
      </c>
      <c r="X284" s="2" t="s">
        <v>6</v>
      </c>
      <c r="Y284" s="2" t="s">
        <v>2</v>
      </c>
      <c r="Z284">
        <v>839</v>
      </c>
      <c r="AA284" t="s">
        <v>1607</v>
      </c>
      <c r="AC284">
        <f t="shared" si="41"/>
        <v>2025</v>
      </c>
      <c r="AD284">
        <f t="shared" si="42"/>
        <v>2025</v>
      </c>
      <c r="AE284">
        <f t="shared" si="43"/>
        <v>2025</v>
      </c>
      <c r="AF284">
        <f t="shared" si="44"/>
        <v>4</v>
      </c>
    </row>
    <row r="285" spans="1:32" x14ac:dyDescent="0.25">
      <c r="A285" s="59">
        <v>45770.125</v>
      </c>
      <c r="B285" s="2">
        <v>1271</v>
      </c>
      <c r="C285" s="19" t="s">
        <v>1</v>
      </c>
      <c r="D285" s="19" t="s">
        <v>2</v>
      </c>
      <c r="E285" s="19" t="s">
        <v>2</v>
      </c>
      <c r="F285" s="19" t="s">
        <v>136</v>
      </c>
      <c r="G285" s="19" t="s">
        <v>137</v>
      </c>
      <c r="H285" s="19" t="s">
        <v>793</v>
      </c>
      <c r="I285" s="19" t="s">
        <v>984</v>
      </c>
      <c r="J285" s="2" t="s">
        <v>2</v>
      </c>
      <c r="K285" s="20">
        <v>45770.125</v>
      </c>
      <c r="L285" s="20">
        <v>45770.125</v>
      </c>
      <c r="M285" s="22">
        <v>130</v>
      </c>
      <c r="N285" s="21">
        <v>152000</v>
      </c>
      <c r="O285" s="2" t="s">
        <v>76</v>
      </c>
      <c r="P285" s="2" t="s">
        <v>4</v>
      </c>
      <c r="Q285" s="2" t="s">
        <v>5</v>
      </c>
      <c r="R285" s="21">
        <f t="shared" si="36"/>
        <v>152000</v>
      </c>
      <c r="S285" s="21">
        <v>152000</v>
      </c>
      <c r="T285" s="5">
        <f t="shared" si="37"/>
        <v>15000</v>
      </c>
      <c r="U285">
        <f t="shared" si="38"/>
        <v>4</v>
      </c>
      <c r="V285">
        <f t="shared" si="39"/>
        <v>4</v>
      </c>
      <c r="W285" s="5">
        <f t="shared" si="40"/>
        <v>0</v>
      </c>
      <c r="X285" s="2" t="s">
        <v>6</v>
      </c>
      <c r="Y285" s="2" t="s">
        <v>2</v>
      </c>
      <c r="Z285">
        <v>839</v>
      </c>
      <c r="AA285" t="s">
        <v>1607</v>
      </c>
      <c r="AC285">
        <f t="shared" si="41"/>
        <v>2025</v>
      </c>
      <c r="AD285">
        <f t="shared" si="42"/>
        <v>2025</v>
      </c>
      <c r="AE285">
        <f t="shared" si="43"/>
        <v>2025</v>
      </c>
      <c r="AF285">
        <f t="shared" si="44"/>
        <v>4</v>
      </c>
    </row>
    <row r="286" spans="1:32" x14ac:dyDescent="0.25">
      <c r="A286" s="59">
        <v>45771.125</v>
      </c>
      <c r="B286" s="2">
        <v>1272</v>
      </c>
      <c r="C286" s="19" t="s">
        <v>922</v>
      </c>
      <c r="D286" s="19" t="s">
        <v>2</v>
      </c>
      <c r="E286" s="19" t="s">
        <v>2</v>
      </c>
      <c r="F286" s="19" t="s">
        <v>985</v>
      </c>
      <c r="G286" s="19" t="s">
        <v>986</v>
      </c>
      <c r="H286" s="19" t="s">
        <v>987</v>
      </c>
      <c r="I286" s="19" t="s">
        <v>988</v>
      </c>
      <c r="J286" s="2" t="s">
        <v>2</v>
      </c>
      <c r="K286" s="20">
        <v>45771.125</v>
      </c>
      <c r="L286" s="20">
        <v>45772.125</v>
      </c>
      <c r="M286" s="22">
        <v>230</v>
      </c>
      <c r="N286" s="21">
        <v>276000</v>
      </c>
      <c r="O286" s="2" t="s">
        <v>76</v>
      </c>
      <c r="P286" s="2" t="s">
        <v>4</v>
      </c>
      <c r="Q286" s="2" t="s">
        <v>5</v>
      </c>
      <c r="R286" s="21">
        <f t="shared" si="36"/>
        <v>276000</v>
      </c>
      <c r="S286" s="21">
        <v>276000</v>
      </c>
      <c r="T286" s="5">
        <f t="shared" si="37"/>
        <v>15000</v>
      </c>
      <c r="U286">
        <f t="shared" si="38"/>
        <v>4</v>
      </c>
      <c r="V286">
        <f t="shared" si="39"/>
        <v>4</v>
      </c>
      <c r="W286" s="5">
        <f t="shared" si="40"/>
        <v>0</v>
      </c>
      <c r="X286" s="2" t="s">
        <v>6</v>
      </c>
      <c r="Y286" s="2" t="s">
        <v>2</v>
      </c>
      <c r="Z286">
        <v>842</v>
      </c>
      <c r="AA286" t="s">
        <v>1608</v>
      </c>
      <c r="AC286">
        <f t="shared" si="41"/>
        <v>2025</v>
      </c>
      <c r="AD286">
        <f t="shared" si="42"/>
        <v>2025</v>
      </c>
      <c r="AE286">
        <f t="shared" si="43"/>
        <v>2025</v>
      </c>
      <c r="AF286">
        <f t="shared" si="44"/>
        <v>4</v>
      </c>
    </row>
    <row r="287" spans="1:32" x14ac:dyDescent="0.25">
      <c r="A287" s="59">
        <v>45771.125</v>
      </c>
      <c r="B287" s="2">
        <v>1273</v>
      </c>
      <c r="C287" s="19" t="s">
        <v>535</v>
      </c>
      <c r="D287" s="19" t="s">
        <v>2</v>
      </c>
      <c r="E287" s="19" t="s">
        <v>2</v>
      </c>
      <c r="F287" s="19" t="s">
        <v>86</v>
      </c>
      <c r="G287" s="19" t="s">
        <v>94</v>
      </c>
      <c r="H287" s="19" t="s">
        <v>270</v>
      </c>
      <c r="I287" s="19" t="s">
        <v>989</v>
      </c>
      <c r="J287" s="2" t="s">
        <v>2</v>
      </c>
      <c r="K287" s="20">
        <v>45772.125</v>
      </c>
      <c r="L287" s="20">
        <v>45772.125</v>
      </c>
      <c r="M287" s="22">
        <v>170</v>
      </c>
      <c r="N287" s="21">
        <v>204000</v>
      </c>
      <c r="O287" s="2" t="s">
        <v>76</v>
      </c>
      <c r="P287" s="2" t="s">
        <v>4</v>
      </c>
      <c r="Q287" s="2" t="s">
        <v>5</v>
      </c>
      <c r="R287" s="21">
        <f t="shared" si="36"/>
        <v>204000</v>
      </c>
      <c r="S287" s="21">
        <v>204000</v>
      </c>
      <c r="T287" s="5">
        <f t="shared" si="37"/>
        <v>15000</v>
      </c>
      <c r="U287">
        <f t="shared" si="38"/>
        <v>4</v>
      </c>
      <c r="V287">
        <f t="shared" si="39"/>
        <v>4</v>
      </c>
      <c r="W287" s="5">
        <f t="shared" si="40"/>
        <v>0</v>
      </c>
      <c r="X287" s="2" t="s">
        <v>6</v>
      </c>
      <c r="Y287" s="2" t="s">
        <v>2</v>
      </c>
      <c r="Z287">
        <v>840</v>
      </c>
      <c r="AC287">
        <f t="shared" si="41"/>
        <v>2025</v>
      </c>
      <c r="AD287">
        <f t="shared" si="42"/>
        <v>2025</v>
      </c>
      <c r="AE287">
        <f t="shared" si="43"/>
        <v>2025</v>
      </c>
      <c r="AF287">
        <f t="shared" si="44"/>
        <v>4</v>
      </c>
    </row>
    <row r="288" spans="1:32" x14ac:dyDescent="0.25">
      <c r="A288" s="59">
        <v>45772.125</v>
      </c>
      <c r="B288" s="2">
        <v>1274</v>
      </c>
      <c r="C288" s="19" t="s">
        <v>573</v>
      </c>
      <c r="D288" s="19" t="s">
        <v>2</v>
      </c>
      <c r="E288" s="19" t="s">
        <v>2</v>
      </c>
      <c r="F288" s="19" t="s">
        <v>388</v>
      </c>
      <c r="G288" s="19" t="s">
        <v>351</v>
      </c>
      <c r="H288" s="19" t="s">
        <v>430</v>
      </c>
      <c r="I288" s="19" t="s">
        <v>990</v>
      </c>
      <c r="J288" s="2" t="s">
        <v>2</v>
      </c>
      <c r="K288" s="20">
        <v>45772.125</v>
      </c>
      <c r="L288" s="20">
        <v>45772.125</v>
      </c>
      <c r="M288" s="22">
        <v>200</v>
      </c>
      <c r="N288" s="21">
        <v>240000</v>
      </c>
      <c r="O288" s="2" t="s">
        <v>76</v>
      </c>
      <c r="P288" s="2" t="s">
        <v>4</v>
      </c>
      <c r="Q288" s="2" t="s">
        <v>5</v>
      </c>
      <c r="R288" s="21">
        <f t="shared" si="36"/>
        <v>240000</v>
      </c>
      <c r="S288" s="21">
        <v>240000</v>
      </c>
      <c r="T288" s="5">
        <f t="shared" si="37"/>
        <v>15000</v>
      </c>
      <c r="U288">
        <f t="shared" si="38"/>
        <v>4</v>
      </c>
      <c r="V288">
        <f t="shared" si="39"/>
        <v>4</v>
      </c>
      <c r="W288" s="5">
        <f t="shared" si="40"/>
        <v>0</v>
      </c>
      <c r="X288" s="2" t="s">
        <v>6</v>
      </c>
      <c r="Y288" s="2" t="s">
        <v>2</v>
      </c>
      <c r="Z288">
        <v>841</v>
      </c>
      <c r="AC288">
        <f t="shared" si="41"/>
        <v>2025</v>
      </c>
      <c r="AD288">
        <f t="shared" si="42"/>
        <v>2025</v>
      </c>
      <c r="AE288">
        <f t="shared" si="43"/>
        <v>2025</v>
      </c>
      <c r="AF288">
        <f t="shared" si="44"/>
        <v>4</v>
      </c>
    </row>
    <row r="289" spans="1:32" x14ac:dyDescent="0.25">
      <c r="A289" s="59">
        <v>45772.125</v>
      </c>
      <c r="B289" s="2">
        <v>1275</v>
      </c>
      <c r="C289" s="19" t="s">
        <v>991</v>
      </c>
      <c r="D289" s="19" t="s">
        <v>2</v>
      </c>
      <c r="E289" s="19" t="s">
        <v>2</v>
      </c>
      <c r="F289" s="19" t="s">
        <v>887</v>
      </c>
      <c r="G289" s="19" t="s">
        <v>992</v>
      </c>
      <c r="H289" s="19" t="s">
        <v>993</v>
      </c>
      <c r="I289" s="19" t="s">
        <v>994</v>
      </c>
      <c r="J289" s="2" t="s">
        <v>2</v>
      </c>
      <c r="K289" s="20">
        <v>45777.125</v>
      </c>
      <c r="L289" s="20">
        <v>45777.125</v>
      </c>
      <c r="M289" s="22">
        <v>0</v>
      </c>
      <c r="N289" s="21">
        <v>0</v>
      </c>
      <c r="O289" s="2" t="s">
        <v>76</v>
      </c>
      <c r="P289" s="2" t="s">
        <v>306</v>
      </c>
      <c r="Q289" s="2" t="s">
        <v>5</v>
      </c>
      <c r="R289" s="21">
        <f t="shared" si="36"/>
        <v>0</v>
      </c>
      <c r="S289" s="21">
        <v>0</v>
      </c>
      <c r="T289" s="5">
        <f t="shared" si="37"/>
        <v>15000</v>
      </c>
      <c r="U289">
        <f t="shared" si="38"/>
        <v>4</v>
      </c>
      <c r="V289">
        <f t="shared" si="39"/>
        <v>4</v>
      </c>
      <c r="W289" s="5">
        <f t="shared" si="40"/>
        <v>0</v>
      </c>
      <c r="X289" s="2" t="s">
        <v>6</v>
      </c>
      <c r="Y289" s="2" t="s">
        <v>2</v>
      </c>
      <c r="AC289">
        <f t="shared" si="41"/>
        <v>2025</v>
      </c>
      <c r="AD289">
        <f t="shared" si="42"/>
        <v>2025</v>
      </c>
      <c r="AE289">
        <f t="shared" si="43"/>
        <v>2025</v>
      </c>
      <c r="AF289">
        <f t="shared" si="44"/>
        <v>4</v>
      </c>
    </row>
    <row r="290" spans="1:32" x14ac:dyDescent="0.25">
      <c r="A290" s="59">
        <v>45776.125</v>
      </c>
      <c r="B290" s="2">
        <v>1276</v>
      </c>
      <c r="C290" s="19" t="s">
        <v>1000</v>
      </c>
      <c r="D290" s="19" t="s">
        <v>2</v>
      </c>
      <c r="E290" s="19" t="s">
        <v>2</v>
      </c>
      <c r="F290" s="19" t="s">
        <v>86</v>
      </c>
      <c r="G290" s="19" t="s">
        <v>94</v>
      </c>
      <c r="H290" s="19" t="s">
        <v>321</v>
      </c>
      <c r="I290" s="19" t="s">
        <v>1004</v>
      </c>
      <c r="J290" s="2" t="s">
        <v>2</v>
      </c>
      <c r="K290" s="20">
        <v>45776.125</v>
      </c>
      <c r="L290" s="20">
        <v>45776.125</v>
      </c>
      <c r="M290" s="22">
        <v>160</v>
      </c>
      <c r="N290" s="21">
        <v>192000</v>
      </c>
      <c r="O290" s="2" t="s">
        <v>76</v>
      </c>
      <c r="P290" s="2" t="s">
        <v>4</v>
      </c>
      <c r="Q290" s="2" t="s">
        <v>5</v>
      </c>
      <c r="R290" s="21">
        <f t="shared" si="36"/>
        <v>192000</v>
      </c>
      <c r="S290" s="21">
        <v>192000</v>
      </c>
      <c r="T290" s="5">
        <f t="shared" si="37"/>
        <v>15000</v>
      </c>
      <c r="U290">
        <f t="shared" si="38"/>
        <v>4</v>
      </c>
      <c r="V290">
        <f t="shared" si="39"/>
        <v>4</v>
      </c>
      <c r="W290" s="5">
        <f t="shared" si="40"/>
        <v>0</v>
      </c>
      <c r="X290" s="2" t="s">
        <v>6</v>
      </c>
      <c r="Y290" s="2" t="s">
        <v>2</v>
      </c>
      <c r="Z290">
        <v>845</v>
      </c>
      <c r="AC290">
        <f t="shared" si="41"/>
        <v>2025</v>
      </c>
      <c r="AD290">
        <f t="shared" si="42"/>
        <v>2025</v>
      </c>
      <c r="AE290">
        <f t="shared" si="43"/>
        <v>2025</v>
      </c>
      <c r="AF290">
        <f t="shared" si="44"/>
        <v>4</v>
      </c>
    </row>
    <row r="291" spans="1:32" x14ac:dyDescent="0.25">
      <c r="A291" s="59">
        <v>45777.125</v>
      </c>
      <c r="B291" s="2">
        <v>1277</v>
      </c>
      <c r="C291" s="19" t="s">
        <v>1005</v>
      </c>
      <c r="D291" s="19" t="s">
        <v>2</v>
      </c>
      <c r="E291" s="19" t="s">
        <v>2</v>
      </c>
      <c r="F291" s="19" t="s">
        <v>140</v>
      </c>
      <c r="G291" s="19" t="s">
        <v>141</v>
      </c>
      <c r="H291" s="19" t="s">
        <v>1006</v>
      </c>
      <c r="I291" s="19" t="s">
        <v>1007</v>
      </c>
      <c r="J291" s="2" t="s">
        <v>2</v>
      </c>
      <c r="K291" s="20">
        <v>45786.125</v>
      </c>
      <c r="L291" s="20">
        <v>45779.125</v>
      </c>
      <c r="M291" s="22">
        <v>180</v>
      </c>
      <c r="N291" s="21">
        <v>214000</v>
      </c>
      <c r="O291" s="2" t="s">
        <v>76</v>
      </c>
      <c r="P291" s="2" t="s">
        <v>4</v>
      </c>
      <c r="Q291" s="2" t="s">
        <v>5</v>
      </c>
      <c r="R291" s="21">
        <f t="shared" si="36"/>
        <v>214000</v>
      </c>
      <c r="S291" s="21">
        <v>214000</v>
      </c>
      <c r="T291" s="5">
        <f t="shared" si="37"/>
        <v>15000</v>
      </c>
      <c r="U291">
        <f t="shared" si="38"/>
        <v>5</v>
      </c>
      <c r="V291">
        <f t="shared" si="39"/>
        <v>4</v>
      </c>
      <c r="W291" s="5">
        <f t="shared" si="40"/>
        <v>0</v>
      </c>
      <c r="X291" s="2" t="s">
        <v>6</v>
      </c>
      <c r="Y291" s="2" t="s">
        <v>2</v>
      </c>
      <c r="AC291">
        <f t="shared" si="41"/>
        <v>2025</v>
      </c>
      <c r="AD291">
        <f t="shared" si="42"/>
        <v>2025</v>
      </c>
      <c r="AE291">
        <f t="shared" si="43"/>
        <v>2025</v>
      </c>
      <c r="AF291">
        <f t="shared" si="44"/>
        <v>5</v>
      </c>
    </row>
    <row r="292" spans="1:32" x14ac:dyDescent="0.25">
      <c r="A292" s="59">
        <v>45779.125</v>
      </c>
      <c r="B292" s="2">
        <v>1278</v>
      </c>
      <c r="C292" s="19" t="s">
        <v>1</v>
      </c>
      <c r="D292" s="19" t="s">
        <v>2</v>
      </c>
      <c r="E292" s="19" t="s">
        <v>2</v>
      </c>
      <c r="F292" s="19" t="s">
        <v>124</v>
      </c>
      <c r="G292" s="19" t="s">
        <v>1008</v>
      </c>
      <c r="H292" s="19" t="s">
        <v>1009</v>
      </c>
      <c r="I292" s="19" t="s">
        <v>1010</v>
      </c>
      <c r="J292" s="2" t="s">
        <v>2</v>
      </c>
      <c r="K292" s="20">
        <v>45779.125</v>
      </c>
      <c r="L292" s="20">
        <v>45782.125</v>
      </c>
      <c r="M292" s="22">
        <v>850</v>
      </c>
      <c r="N292" s="21">
        <v>1020000</v>
      </c>
      <c r="O292" s="2" t="s">
        <v>76</v>
      </c>
      <c r="P292" s="2" t="s">
        <v>4</v>
      </c>
      <c r="Q292" s="2" t="s">
        <v>5</v>
      </c>
      <c r="R292" s="21">
        <f t="shared" si="36"/>
        <v>1020000</v>
      </c>
      <c r="S292" s="21">
        <v>1020000</v>
      </c>
      <c r="T292" s="5">
        <f t="shared" si="37"/>
        <v>15000</v>
      </c>
      <c r="U292">
        <f t="shared" si="38"/>
        <v>5</v>
      </c>
      <c r="V292">
        <f t="shared" si="39"/>
        <v>5</v>
      </c>
      <c r="W292" s="5">
        <f t="shared" si="40"/>
        <v>0</v>
      </c>
      <c r="X292" s="2" t="s">
        <v>6</v>
      </c>
      <c r="Y292" s="2" t="s">
        <v>2</v>
      </c>
      <c r="Z292">
        <v>849</v>
      </c>
      <c r="AA292" t="s">
        <v>1609</v>
      </c>
      <c r="AC292">
        <f t="shared" si="41"/>
        <v>2025</v>
      </c>
      <c r="AD292">
        <f t="shared" si="42"/>
        <v>2025</v>
      </c>
      <c r="AE292">
        <f t="shared" si="43"/>
        <v>2025</v>
      </c>
      <c r="AF292">
        <f t="shared" si="44"/>
        <v>5</v>
      </c>
    </row>
    <row r="293" spans="1:32" x14ac:dyDescent="0.25">
      <c r="A293" s="59">
        <v>45779.125</v>
      </c>
      <c r="B293" s="2">
        <v>1279</v>
      </c>
      <c r="C293" s="19" t="s">
        <v>1011</v>
      </c>
      <c r="D293" s="19" t="s">
        <v>2</v>
      </c>
      <c r="E293" s="19" t="s">
        <v>2</v>
      </c>
      <c r="F293" s="19" t="s">
        <v>86</v>
      </c>
      <c r="G293" s="19" t="s">
        <v>94</v>
      </c>
      <c r="H293" s="19" t="s">
        <v>270</v>
      </c>
      <c r="I293" s="19" t="s">
        <v>1012</v>
      </c>
      <c r="J293" s="2" t="s">
        <v>2</v>
      </c>
      <c r="K293" s="20">
        <v>45782.125</v>
      </c>
      <c r="L293" s="20">
        <v>45782.125</v>
      </c>
      <c r="M293" s="22">
        <v>160</v>
      </c>
      <c r="N293" s="21">
        <v>192000</v>
      </c>
      <c r="O293" s="2" t="s">
        <v>76</v>
      </c>
      <c r="P293" s="2" t="s">
        <v>145</v>
      </c>
      <c r="Q293" s="2" t="s">
        <v>146</v>
      </c>
      <c r="R293" s="21">
        <f t="shared" si="36"/>
        <v>0</v>
      </c>
      <c r="S293" s="21">
        <v>0</v>
      </c>
      <c r="T293" s="5">
        <f t="shared" si="37"/>
        <v>15000</v>
      </c>
      <c r="U293">
        <f t="shared" si="38"/>
        <v>5</v>
      </c>
      <c r="V293">
        <f t="shared" si="39"/>
        <v>5</v>
      </c>
      <c r="W293" s="5">
        <f t="shared" si="40"/>
        <v>0</v>
      </c>
      <c r="X293" s="2" t="s">
        <v>6</v>
      </c>
      <c r="Y293" s="2" t="s">
        <v>2</v>
      </c>
      <c r="AC293">
        <f t="shared" si="41"/>
        <v>2025</v>
      </c>
      <c r="AD293">
        <f t="shared" si="42"/>
        <v>2025</v>
      </c>
      <c r="AE293">
        <f t="shared" si="43"/>
        <v>2025</v>
      </c>
      <c r="AF293">
        <f t="shared" si="44"/>
        <v>5</v>
      </c>
    </row>
    <row r="294" spans="1:32" x14ac:dyDescent="0.25">
      <c r="A294" s="59">
        <v>45783.125</v>
      </c>
      <c r="B294" s="2">
        <v>1280</v>
      </c>
      <c r="C294" s="19" t="s">
        <v>1000</v>
      </c>
      <c r="D294" s="19" t="s">
        <v>2</v>
      </c>
      <c r="E294" s="19" t="s">
        <v>2</v>
      </c>
      <c r="F294" s="19" t="s">
        <v>86</v>
      </c>
      <c r="G294" s="19" t="s">
        <v>94</v>
      </c>
      <c r="H294" s="19" t="s">
        <v>321</v>
      </c>
      <c r="I294" s="19" t="s">
        <v>1013</v>
      </c>
      <c r="J294" s="2" t="s">
        <v>2</v>
      </c>
      <c r="K294" s="20">
        <v>45783.125</v>
      </c>
      <c r="L294" s="20">
        <v>45783.125</v>
      </c>
      <c r="M294" s="22">
        <v>190</v>
      </c>
      <c r="N294" s="21">
        <v>230000</v>
      </c>
      <c r="O294" s="2" t="s">
        <v>76</v>
      </c>
      <c r="P294" s="2" t="s">
        <v>4</v>
      </c>
      <c r="Q294" s="2" t="s">
        <v>5</v>
      </c>
      <c r="R294" s="21">
        <f t="shared" si="36"/>
        <v>230000</v>
      </c>
      <c r="S294" s="21">
        <v>230000</v>
      </c>
      <c r="T294" s="5">
        <f t="shared" si="37"/>
        <v>15000</v>
      </c>
      <c r="U294">
        <f t="shared" si="38"/>
        <v>5</v>
      </c>
      <c r="V294">
        <f t="shared" si="39"/>
        <v>5</v>
      </c>
      <c r="W294" s="5">
        <f t="shared" si="40"/>
        <v>0</v>
      </c>
      <c r="X294" s="2" t="s">
        <v>6</v>
      </c>
      <c r="Y294" s="2" t="s">
        <v>2</v>
      </c>
      <c r="Z294">
        <v>846</v>
      </c>
      <c r="AC294">
        <f t="shared" si="41"/>
        <v>2025</v>
      </c>
      <c r="AD294">
        <f t="shared" si="42"/>
        <v>2025</v>
      </c>
      <c r="AE294">
        <f t="shared" si="43"/>
        <v>2025</v>
      </c>
      <c r="AF294">
        <f t="shared" si="44"/>
        <v>5</v>
      </c>
    </row>
    <row r="295" spans="1:32" x14ac:dyDescent="0.25">
      <c r="A295" s="59">
        <v>45783.125</v>
      </c>
      <c r="B295" s="2">
        <v>1281</v>
      </c>
      <c r="C295" s="19" t="s">
        <v>1014</v>
      </c>
      <c r="D295" s="19" t="s">
        <v>2</v>
      </c>
      <c r="E295" s="19" t="s">
        <v>2</v>
      </c>
      <c r="F295" s="19" t="s">
        <v>1015</v>
      </c>
      <c r="G295" s="19" t="s">
        <v>532</v>
      </c>
      <c r="H295" s="19" t="s">
        <v>1016</v>
      </c>
      <c r="I295" s="19" t="s">
        <v>1017</v>
      </c>
      <c r="J295" s="2" t="s">
        <v>2</v>
      </c>
      <c r="K295" s="20">
        <v>45786.125</v>
      </c>
      <c r="L295" s="20">
        <v>45783.125</v>
      </c>
      <c r="M295" s="22">
        <v>205</v>
      </c>
      <c r="N295" s="21">
        <v>247500</v>
      </c>
      <c r="O295" s="2" t="s">
        <v>76</v>
      </c>
      <c r="P295" s="2" t="s">
        <v>4</v>
      </c>
      <c r="Q295" s="2" t="s">
        <v>5</v>
      </c>
      <c r="R295" s="21">
        <f t="shared" si="36"/>
        <v>247500</v>
      </c>
      <c r="S295" s="21">
        <v>247500</v>
      </c>
      <c r="T295" s="5">
        <f t="shared" si="37"/>
        <v>15000</v>
      </c>
      <c r="U295">
        <f t="shared" si="38"/>
        <v>5</v>
      </c>
      <c r="V295">
        <f t="shared" si="39"/>
        <v>5</v>
      </c>
      <c r="W295" s="5">
        <f t="shared" si="40"/>
        <v>0</v>
      </c>
      <c r="X295" s="2" t="s">
        <v>6</v>
      </c>
      <c r="Y295" s="2" t="s">
        <v>2</v>
      </c>
      <c r="AA295" t="s">
        <v>1610</v>
      </c>
      <c r="AC295">
        <f t="shared" si="41"/>
        <v>2025</v>
      </c>
      <c r="AD295">
        <f t="shared" si="42"/>
        <v>2025</v>
      </c>
      <c r="AE295">
        <f t="shared" si="43"/>
        <v>2025</v>
      </c>
      <c r="AF295">
        <f t="shared" si="44"/>
        <v>5</v>
      </c>
    </row>
    <row r="296" spans="1:32" x14ac:dyDescent="0.25">
      <c r="A296" s="59">
        <v>45783.125</v>
      </c>
      <c r="B296" s="2">
        <v>1282</v>
      </c>
      <c r="C296" s="19" t="s">
        <v>1018</v>
      </c>
      <c r="D296" s="19" t="s">
        <v>2</v>
      </c>
      <c r="E296" s="19" t="s">
        <v>2</v>
      </c>
      <c r="F296" s="19" t="s">
        <v>1019</v>
      </c>
      <c r="G296" s="19" t="s">
        <v>1020</v>
      </c>
      <c r="H296" s="19" t="s">
        <v>1021</v>
      </c>
      <c r="I296" s="19" t="s">
        <v>1022</v>
      </c>
      <c r="J296" s="2" t="s">
        <v>2</v>
      </c>
      <c r="K296" s="20">
        <v>45791.125</v>
      </c>
      <c r="L296" s="20">
        <v>45791.125</v>
      </c>
      <c r="M296" s="22">
        <v>250</v>
      </c>
      <c r="N296" s="21">
        <v>302500</v>
      </c>
      <c r="O296" s="2" t="s">
        <v>3</v>
      </c>
      <c r="P296" s="2" t="s">
        <v>145</v>
      </c>
      <c r="Q296" s="2" t="s">
        <v>146</v>
      </c>
      <c r="R296" s="21">
        <f t="shared" si="36"/>
        <v>0</v>
      </c>
      <c r="S296" s="21">
        <v>0</v>
      </c>
      <c r="T296" s="5">
        <f t="shared" si="37"/>
        <v>15000</v>
      </c>
      <c r="U296">
        <f t="shared" si="38"/>
        <v>5</v>
      </c>
      <c r="V296">
        <f t="shared" si="39"/>
        <v>5</v>
      </c>
      <c r="W296" s="5">
        <f t="shared" si="40"/>
        <v>0</v>
      </c>
      <c r="X296" s="2" t="s">
        <v>6</v>
      </c>
      <c r="Y296" s="2" t="s">
        <v>2</v>
      </c>
      <c r="AC296">
        <f t="shared" si="41"/>
        <v>2025</v>
      </c>
      <c r="AD296">
        <f t="shared" si="42"/>
        <v>2025</v>
      </c>
      <c r="AE296">
        <f t="shared" si="43"/>
        <v>2025</v>
      </c>
      <c r="AF296">
        <f t="shared" si="44"/>
        <v>5</v>
      </c>
    </row>
    <row r="297" spans="1:32" x14ac:dyDescent="0.25">
      <c r="A297" s="59">
        <v>45785.125</v>
      </c>
      <c r="B297" s="2">
        <v>1283</v>
      </c>
      <c r="C297" s="19" t="s">
        <v>372</v>
      </c>
      <c r="D297" s="19" t="s">
        <v>2</v>
      </c>
      <c r="E297" s="19" t="s">
        <v>1023</v>
      </c>
      <c r="F297" s="19" t="s">
        <v>86</v>
      </c>
      <c r="G297" s="19" t="s">
        <v>351</v>
      </c>
      <c r="H297" s="19" t="s">
        <v>430</v>
      </c>
      <c r="I297" s="19" t="s">
        <v>1024</v>
      </c>
      <c r="J297" s="2" t="s">
        <v>2</v>
      </c>
      <c r="K297" s="20">
        <v>45785.125</v>
      </c>
      <c r="L297" s="20">
        <v>45786.125</v>
      </c>
      <c r="M297" s="22">
        <v>146</v>
      </c>
      <c r="N297" s="21">
        <v>167000</v>
      </c>
      <c r="O297" s="2" t="s">
        <v>76</v>
      </c>
      <c r="P297" s="2" t="s">
        <v>4</v>
      </c>
      <c r="Q297" s="2" t="s">
        <v>5</v>
      </c>
      <c r="R297" s="21">
        <f t="shared" si="36"/>
        <v>167000</v>
      </c>
      <c r="S297" s="21">
        <v>167000</v>
      </c>
      <c r="T297" s="5">
        <f t="shared" si="37"/>
        <v>15000</v>
      </c>
      <c r="U297">
        <f t="shared" si="38"/>
        <v>5</v>
      </c>
      <c r="V297">
        <f t="shared" si="39"/>
        <v>5</v>
      </c>
      <c r="W297" s="5">
        <f t="shared" si="40"/>
        <v>0</v>
      </c>
      <c r="X297" s="2" t="s">
        <v>6</v>
      </c>
      <c r="Y297" s="2" t="s">
        <v>2</v>
      </c>
      <c r="Z297">
        <v>847</v>
      </c>
      <c r="AA297" t="s">
        <v>1611</v>
      </c>
      <c r="AC297">
        <f t="shared" si="41"/>
        <v>2025</v>
      </c>
      <c r="AD297">
        <f t="shared" si="42"/>
        <v>2025</v>
      </c>
      <c r="AE297">
        <f t="shared" si="43"/>
        <v>2025</v>
      </c>
      <c r="AF297">
        <f t="shared" si="44"/>
        <v>5</v>
      </c>
    </row>
    <row r="298" spans="1:32" x14ac:dyDescent="0.25">
      <c r="A298" s="59">
        <v>45785.125</v>
      </c>
      <c r="B298" s="2">
        <v>1284</v>
      </c>
      <c r="C298" s="19" t="s">
        <v>1000</v>
      </c>
      <c r="D298" s="19" t="s">
        <v>2</v>
      </c>
      <c r="E298" s="19" t="s">
        <v>2</v>
      </c>
      <c r="F298" s="19" t="s">
        <v>86</v>
      </c>
      <c r="G298" s="19" t="s">
        <v>351</v>
      </c>
      <c r="H298" s="19" t="s">
        <v>430</v>
      </c>
      <c r="I298" s="19" t="s">
        <v>1025</v>
      </c>
      <c r="J298" s="2" t="s">
        <v>2</v>
      </c>
      <c r="K298" s="20">
        <v>45785.125</v>
      </c>
      <c r="L298" s="20">
        <v>45786.125</v>
      </c>
      <c r="M298" s="22">
        <v>170</v>
      </c>
      <c r="N298" s="21">
        <v>189000</v>
      </c>
      <c r="O298" s="2" t="s">
        <v>76</v>
      </c>
      <c r="P298" s="2" t="s">
        <v>4</v>
      </c>
      <c r="Q298" s="2" t="s">
        <v>5</v>
      </c>
      <c r="R298" s="21">
        <f t="shared" si="36"/>
        <v>189000</v>
      </c>
      <c r="S298" s="21">
        <v>189000</v>
      </c>
      <c r="T298" s="5">
        <f t="shared" si="37"/>
        <v>15000</v>
      </c>
      <c r="U298">
        <f t="shared" si="38"/>
        <v>5</v>
      </c>
      <c r="V298">
        <f t="shared" si="39"/>
        <v>5</v>
      </c>
      <c r="W298" s="5">
        <f t="shared" si="40"/>
        <v>0</v>
      </c>
      <c r="X298" s="2" t="s">
        <v>6</v>
      </c>
      <c r="Y298" s="2" t="s">
        <v>2</v>
      </c>
      <c r="Z298">
        <v>848</v>
      </c>
      <c r="AC298">
        <f t="shared" si="41"/>
        <v>2025</v>
      </c>
      <c r="AD298">
        <f t="shared" si="42"/>
        <v>2025</v>
      </c>
      <c r="AE298">
        <f t="shared" si="43"/>
        <v>2025</v>
      </c>
      <c r="AF298">
        <f t="shared" si="44"/>
        <v>5</v>
      </c>
    </row>
    <row r="299" spans="1:32" x14ac:dyDescent="0.25">
      <c r="A299" s="59">
        <v>45789.125</v>
      </c>
      <c r="B299" s="2">
        <v>1285</v>
      </c>
      <c r="C299" s="19" t="s">
        <v>907</v>
      </c>
      <c r="D299" s="19" t="s">
        <v>2</v>
      </c>
      <c r="E299" s="19" t="s">
        <v>2</v>
      </c>
      <c r="F299" s="19" t="s">
        <v>985</v>
      </c>
      <c r="G299" s="19" t="s">
        <v>909</v>
      </c>
      <c r="H299" s="19" t="s">
        <v>1026</v>
      </c>
      <c r="I299" s="19" t="s">
        <v>1027</v>
      </c>
      <c r="J299" s="2" t="s">
        <v>2</v>
      </c>
      <c r="K299" s="20">
        <v>45937.125</v>
      </c>
      <c r="L299" s="20">
        <v>45937.125</v>
      </c>
      <c r="M299" s="22">
        <v>0</v>
      </c>
      <c r="N299" s="21">
        <v>238000</v>
      </c>
      <c r="O299" s="2" t="s">
        <v>76</v>
      </c>
      <c r="P299" s="2" t="s">
        <v>145</v>
      </c>
      <c r="Q299" s="2" t="s">
        <v>146</v>
      </c>
      <c r="R299" s="21">
        <f t="shared" si="36"/>
        <v>0</v>
      </c>
      <c r="S299" s="21">
        <v>0</v>
      </c>
      <c r="T299" s="5">
        <f t="shared" si="37"/>
        <v>15000</v>
      </c>
      <c r="U299">
        <f t="shared" si="38"/>
        <v>10</v>
      </c>
      <c r="V299">
        <f t="shared" si="39"/>
        <v>5</v>
      </c>
      <c r="W299" s="5">
        <f t="shared" si="40"/>
        <v>0</v>
      </c>
      <c r="X299" s="2" t="s">
        <v>6</v>
      </c>
      <c r="Y299" s="2" t="s">
        <v>2</v>
      </c>
      <c r="AC299">
        <f t="shared" si="41"/>
        <v>2025</v>
      </c>
      <c r="AD299">
        <f t="shared" si="42"/>
        <v>2025</v>
      </c>
      <c r="AE299">
        <f t="shared" si="43"/>
        <v>2025</v>
      </c>
      <c r="AF299">
        <f t="shared" si="44"/>
        <v>10</v>
      </c>
    </row>
    <row r="300" spans="1:32" x14ac:dyDescent="0.25">
      <c r="A300" s="59">
        <v>45791.125</v>
      </c>
      <c r="B300" s="2">
        <v>1286</v>
      </c>
      <c r="C300" s="19" t="s">
        <v>573</v>
      </c>
      <c r="D300" s="19" t="s">
        <v>2</v>
      </c>
      <c r="E300" s="19" t="s">
        <v>2</v>
      </c>
      <c r="F300" s="19" t="s">
        <v>86</v>
      </c>
      <c r="G300" s="19" t="s">
        <v>351</v>
      </c>
      <c r="H300" s="19" t="s">
        <v>430</v>
      </c>
      <c r="I300" s="19" t="s">
        <v>1028</v>
      </c>
      <c r="J300" s="2" t="s">
        <v>2</v>
      </c>
      <c r="K300" s="20">
        <v>45791.125</v>
      </c>
      <c r="L300" s="20">
        <v>45792.125</v>
      </c>
      <c r="M300" s="22">
        <v>150</v>
      </c>
      <c r="N300" s="21">
        <v>172500</v>
      </c>
      <c r="O300" s="2" t="s">
        <v>3</v>
      </c>
      <c r="P300" s="2" t="s">
        <v>4</v>
      </c>
      <c r="Q300" s="2" t="s">
        <v>5</v>
      </c>
      <c r="R300" s="21">
        <f t="shared" si="36"/>
        <v>172500</v>
      </c>
      <c r="S300" s="21">
        <v>0</v>
      </c>
      <c r="T300" s="5">
        <f t="shared" si="37"/>
        <v>187500</v>
      </c>
      <c r="U300">
        <f t="shared" si="38"/>
        <v>5</v>
      </c>
      <c r="V300">
        <f t="shared" si="39"/>
        <v>5</v>
      </c>
      <c r="W300" s="5">
        <f t="shared" si="40"/>
        <v>-172500</v>
      </c>
      <c r="X300" s="2" t="s">
        <v>6</v>
      </c>
      <c r="Y300" s="2" t="s">
        <v>2</v>
      </c>
      <c r="Z300">
        <v>852</v>
      </c>
      <c r="AC300">
        <f t="shared" si="41"/>
        <v>2025</v>
      </c>
      <c r="AD300">
        <f t="shared" si="42"/>
        <v>2025</v>
      </c>
      <c r="AE300">
        <f t="shared" si="43"/>
        <v>2025</v>
      </c>
      <c r="AF300">
        <f t="shared" si="44"/>
        <v>5</v>
      </c>
    </row>
    <row r="301" spans="1:32" x14ac:dyDescent="0.25">
      <c r="A301" s="59">
        <v>45793.125</v>
      </c>
      <c r="B301" s="2">
        <v>1287</v>
      </c>
      <c r="C301" s="19" t="s">
        <v>218</v>
      </c>
      <c r="D301" s="19" t="s">
        <v>2</v>
      </c>
      <c r="E301" s="19" t="s">
        <v>2</v>
      </c>
      <c r="F301" s="19" t="s">
        <v>1029</v>
      </c>
      <c r="G301" s="19" t="s">
        <v>1030</v>
      </c>
      <c r="H301" s="19" t="s">
        <v>1031</v>
      </c>
      <c r="I301" s="19" t="s">
        <v>1032</v>
      </c>
      <c r="J301" s="2" t="s">
        <v>2</v>
      </c>
      <c r="K301" s="20">
        <v>45812.125</v>
      </c>
      <c r="L301" s="20">
        <v>45797.125</v>
      </c>
      <c r="M301" s="22">
        <v>270</v>
      </c>
      <c r="N301" s="21">
        <v>313000</v>
      </c>
      <c r="O301" s="2" t="s">
        <v>76</v>
      </c>
      <c r="P301" s="2" t="s">
        <v>4</v>
      </c>
      <c r="Q301" s="2" t="s">
        <v>5</v>
      </c>
      <c r="R301" s="21">
        <f t="shared" si="36"/>
        <v>313000</v>
      </c>
      <c r="S301" s="21">
        <v>313000</v>
      </c>
      <c r="T301" s="5">
        <f t="shared" si="37"/>
        <v>187500</v>
      </c>
      <c r="U301">
        <f t="shared" si="38"/>
        <v>6</v>
      </c>
      <c r="V301">
        <f t="shared" si="39"/>
        <v>5</v>
      </c>
      <c r="W301" s="5">
        <f t="shared" si="40"/>
        <v>0</v>
      </c>
      <c r="X301" s="2" t="s">
        <v>6</v>
      </c>
      <c r="Y301" s="2" t="s">
        <v>2</v>
      </c>
      <c r="AA301" t="s">
        <v>1612</v>
      </c>
      <c r="AC301">
        <f t="shared" si="41"/>
        <v>2025</v>
      </c>
      <c r="AD301">
        <f t="shared" si="42"/>
        <v>2025</v>
      </c>
      <c r="AE301">
        <f t="shared" si="43"/>
        <v>2025</v>
      </c>
      <c r="AF301">
        <f t="shared" si="44"/>
        <v>5</v>
      </c>
    </row>
    <row r="302" spans="1:32" x14ac:dyDescent="0.25">
      <c r="A302" s="59">
        <v>45793.125</v>
      </c>
      <c r="B302" s="2">
        <v>1288</v>
      </c>
      <c r="C302" s="19" t="s">
        <v>218</v>
      </c>
      <c r="D302" s="19" t="s">
        <v>2</v>
      </c>
      <c r="E302" s="19" t="s">
        <v>2</v>
      </c>
      <c r="F302" s="19" t="s">
        <v>1029</v>
      </c>
      <c r="G302" s="19" t="s">
        <v>1030</v>
      </c>
      <c r="H302" s="19" t="s">
        <v>1031</v>
      </c>
      <c r="I302" s="19" t="s">
        <v>1033</v>
      </c>
      <c r="J302" s="2" t="s">
        <v>2</v>
      </c>
      <c r="K302" s="20">
        <v>45821.125</v>
      </c>
      <c r="L302" s="20">
        <v>45797.125</v>
      </c>
      <c r="M302" s="22">
        <v>270</v>
      </c>
      <c r="N302" s="21">
        <v>313000</v>
      </c>
      <c r="O302" s="2" t="s">
        <v>76</v>
      </c>
      <c r="P302" s="2" t="s">
        <v>4</v>
      </c>
      <c r="Q302" s="2" t="s">
        <v>5</v>
      </c>
      <c r="R302" s="21">
        <f t="shared" si="36"/>
        <v>313000</v>
      </c>
      <c r="S302" s="21">
        <v>313000</v>
      </c>
      <c r="T302" s="5">
        <f t="shared" si="37"/>
        <v>187500</v>
      </c>
      <c r="U302">
        <f t="shared" si="38"/>
        <v>6</v>
      </c>
      <c r="V302">
        <f t="shared" si="39"/>
        <v>5</v>
      </c>
      <c r="W302" s="5">
        <f t="shared" si="40"/>
        <v>0</v>
      </c>
      <c r="X302" s="2" t="s">
        <v>6</v>
      </c>
      <c r="Y302" s="2" t="s">
        <v>2</v>
      </c>
      <c r="AC302">
        <f t="shared" si="41"/>
        <v>2025</v>
      </c>
      <c r="AD302">
        <f t="shared" si="42"/>
        <v>2025</v>
      </c>
      <c r="AE302">
        <f t="shared" si="43"/>
        <v>2025</v>
      </c>
      <c r="AF302">
        <f t="shared" si="44"/>
        <v>5</v>
      </c>
    </row>
    <row r="303" spans="1:32" x14ac:dyDescent="0.25">
      <c r="A303" s="59">
        <v>45793.125</v>
      </c>
      <c r="B303" s="2">
        <v>1289</v>
      </c>
      <c r="C303" s="19" t="s">
        <v>1034</v>
      </c>
      <c r="D303" s="19" t="s">
        <v>2</v>
      </c>
      <c r="E303" s="19" t="s">
        <v>2</v>
      </c>
      <c r="F303" s="19" t="s">
        <v>1035</v>
      </c>
      <c r="G303" s="19" t="s">
        <v>1036</v>
      </c>
      <c r="H303" s="19" t="s">
        <v>1037</v>
      </c>
      <c r="I303" s="19" t="s">
        <v>1038</v>
      </c>
      <c r="J303" s="2" t="s">
        <v>2</v>
      </c>
      <c r="K303" s="20">
        <v>45793.125</v>
      </c>
      <c r="L303" s="20">
        <v>45796.125</v>
      </c>
      <c r="M303" s="22">
        <v>170</v>
      </c>
      <c r="N303" s="21">
        <v>198000</v>
      </c>
      <c r="O303" s="2" t="s">
        <v>76</v>
      </c>
      <c r="P303" s="2" t="s">
        <v>4</v>
      </c>
      <c r="Q303" s="2" t="s">
        <v>5</v>
      </c>
      <c r="R303" s="21">
        <f t="shared" si="36"/>
        <v>198000</v>
      </c>
      <c r="S303" s="21">
        <v>198000</v>
      </c>
      <c r="T303" s="5">
        <f t="shared" si="37"/>
        <v>187500</v>
      </c>
      <c r="U303">
        <f t="shared" si="38"/>
        <v>5</v>
      </c>
      <c r="V303">
        <f t="shared" si="39"/>
        <v>5</v>
      </c>
      <c r="W303" s="5">
        <f t="shared" si="40"/>
        <v>0</v>
      </c>
      <c r="X303" s="2" t="s">
        <v>6</v>
      </c>
      <c r="Y303" s="2" t="s">
        <v>2</v>
      </c>
      <c r="AC303">
        <f t="shared" si="41"/>
        <v>2025</v>
      </c>
      <c r="AD303">
        <f t="shared" si="42"/>
        <v>2025</v>
      </c>
      <c r="AE303">
        <f t="shared" si="43"/>
        <v>2025</v>
      </c>
      <c r="AF303">
        <f t="shared" si="44"/>
        <v>5</v>
      </c>
    </row>
    <row r="304" spans="1:32" x14ac:dyDescent="0.25">
      <c r="A304" s="59">
        <v>45797.125</v>
      </c>
      <c r="B304" s="2">
        <v>1290</v>
      </c>
      <c r="C304" s="19" t="s">
        <v>1039</v>
      </c>
      <c r="D304" s="19" t="s">
        <v>2</v>
      </c>
      <c r="E304" s="19" t="s">
        <v>2</v>
      </c>
      <c r="F304" s="19" t="s">
        <v>86</v>
      </c>
      <c r="G304" s="19" t="s">
        <v>94</v>
      </c>
      <c r="H304" s="19" t="s">
        <v>321</v>
      </c>
      <c r="I304" s="19" t="s">
        <v>1040</v>
      </c>
      <c r="J304" s="2" t="s">
        <v>2</v>
      </c>
      <c r="K304" s="20">
        <v>45797.125</v>
      </c>
      <c r="L304" s="20">
        <v>45797.125</v>
      </c>
      <c r="M304" s="22">
        <v>205</v>
      </c>
      <c r="N304" s="21">
        <v>237000</v>
      </c>
      <c r="O304" s="2" t="s">
        <v>76</v>
      </c>
      <c r="P304" s="2" t="s">
        <v>4</v>
      </c>
      <c r="Q304" s="2" t="s">
        <v>5</v>
      </c>
      <c r="R304" s="21">
        <f t="shared" si="36"/>
        <v>237000</v>
      </c>
      <c r="S304" s="21">
        <v>237000</v>
      </c>
      <c r="T304" s="5">
        <f t="shared" si="37"/>
        <v>187500</v>
      </c>
      <c r="U304">
        <f t="shared" si="38"/>
        <v>5</v>
      </c>
      <c r="V304">
        <f t="shared" si="39"/>
        <v>5</v>
      </c>
      <c r="W304" s="5">
        <f t="shared" si="40"/>
        <v>0</v>
      </c>
      <c r="X304" s="2" t="s">
        <v>6</v>
      </c>
      <c r="Y304" s="2" t="s">
        <v>2</v>
      </c>
      <c r="Z304">
        <v>850</v>
      </c>
      <c r="AA304" t="s">
        <v>1613</v>
      </c>
      <c r="AC304">
        <f t="shared" si="41"/>
        <v>2025</v>
      </c>
      <c r="AD304">
        <f t="shared" si="42"/>
        <v>2025</v>
      </c>
      <c r="AE304">
        <f t="shared" si="43"/>
        <v>2025</v>
      </c>
      <c r="AF304">
        <f t="shared" si="44"/>
        <v>5</v>
      </c>
    </row>
    <row r="305" spans="1:32" x14ac:dyDescent="0.25">
      <c r="A305" s="59">
        <v>45800.125</v>
      </c>
      <c r="B305" s="2">
        <v>1291</v>
      </c>
      <c r="C305" s="19" t="s">
        <v>0</v>
      </c>
      <c r="D305" s="19" t="s">
        <v>111</v>
      </c>
      <c r="E305" s="19" t="s">
        <v>810</v>
      </c>
      <c r="F305" s="19" t="s">
        <v>1041</v>
      </c>
      <c r="G305" s="19" t="s">
        <v>1042</v>
      </c>
      <c r="H305" s="19" t="s">
        <v>1043</v>
      </c>
      <c r="I305" s="19" t="s">
        <v>1044</v>
      </c>
      <c r="J305" s="2" t="s">
        <v>1305</v>
      </c>
      <c r="K305" s="20">
        <v>45966.125</v>
      </c>
      <c r="L305" s="20">
        <v>45932.125</v>
      </c>
      <c r="M305" s="22">
        <v>2141</v>
      </c>
      <c r="N305" s="21">
        <v>3104450</v>
      </c>
      <c r="O305" s="2" t="s">
        <v>76</v>
      </c>
      <c r="P305" s="2" t="s">
        <v>4</v>
      </c>
      <c r="Q305" s="2" t="s">
        <v>5</v>
      </c>
      <c r="R305" s="21">
        <f t="shared" si="36"/>
        <v>3104450</v>
      </c>
      <c r="S305" s="21">
        <v>3104450</v>
      </c>
      <c r="T305" s="5">
        <f t="shared" si="37"/>
        <v>187500</v>
      </c>
      <c r="U305">
        <f t="shared" si="38"/>
        <v>11</v>
      </c>
      <c r="V305">
        <f t="shared" si="39"/>
        <v>5</v>
      </c>
      <c r="W305" s="5">
        <f t="shared" si="40"/>
        <v>0</v>
      </c>
      <c r="X305" s="2" t="s">
        <v>6</v>
      </c>
      <c r="Y305" s="2" t="s">
        <v>2</v>
      </c>
      <c r="AA305" t="s">
        <v>1614</v>
      </c>
      <c r="AC305">
        <f t="shared" si="41"/>
        <v>2025</v>
      </c>
      <c r="AD305">
        <f t="shared" si="42"/>
        <v>2025</v>
      </c>
      <c r="AE305">
        <f t="shared" si="43"/>
        <v>2025</v>
      </c>
      <c r="AF305">
        <f t="shared" si="44"/>
        <v>10</v>
      </c>
    </row>
    <row r="306" spans="1:32" x14ac:dyDescent="0.25">
      <c r="A306" s="59">
        <v>45804.125</v>
      </c>
      <c r="B306" s="2">
        <v>1292</v>
      </c>
      <c r="C306" s="19" t="s">
        <v>535</v>
      </c>
      <c r="D306" s="19" t="s">
        <v>2</v>
      </c>
      <c r="E306" s="19" t="s">
        <v>2</v>
      </c>
      <c r="F306" s="19" t="s">
        <v>86</v>
      </c>
      <c r="G306" s="19" t="s">
        <v>94</v>
      </c>
      <c r="H306" s="19" t="s">
        <v>104</v>
      </c>
      <c r="I306" s="19" t="s">
        <v>1045</v>
      </c>
      <c r="J306" s="2" t="s">
        <v>2</v>
      </c>
      <c r="K306" s="20">
        <v>45804.125</v>
      </c>
      <c r="L306" s="20">
        <v>45804.125</v>
      </c>
      <c r="M306" s="22">
        <v>160</v>
      </c>
      <c r="N306" s="21">
        <v>185000</v>
      </c>
      <c r="O306" s="2" t="s">
        <v>76</v>
      </c>
      <c r="P306" s="2" t="s">
        <v>4</v>
      </c>
      <c r="Q306" s="2" t="s">
        <v>5</v>
      </c>
      <c r="R306" s="21">
        <f t="shared" si="36"/>
        <v>185000</v>
      </c>
      <c r="S306" s="21">
        <v>185000</v>
      </c>
      <c r="T306" s="5">
        <f t="shared" si="37"/>
        <v>187500</v>
      </c>
      <c r="U306">
        <f t="shared" si="38"/>
        <v>5</v>
      </c>
      <c r="V306">
        <f t="shared" si="39"/>
        <v>5</v>
      </c>
      <c r="W306" s="5">
        <f t="shared" si="40"/>
        <v>0</v>
      </c>
      <c r="X306" s="2" t="s">
        <v>6</v>
      </c>
      <c r="Y306" s="2" t="s">
        <v>2</v>
      </c>
      <c r="Z306">
        <v>851</v>
      </c>
      <c r="AC306">
        <f t="shared" si="41"/>
        <v>2025</v>
      </c>
      <c r="AD306">
        <f t="shared" si="42"/>
        <v>2025</v>
      </c>
      <c r="AE306">
        <f t="shared" si="43"/>
        <v>2025</v>
      </c>
      <c r="AF306">
        <f t="shared" si="44"/>
        <v>5</v>
      </c>
    </row>
    <row r="307" spans="1:32" x14ac:dyDescent="0.25">
      <c r="A307" s="59">
        <v>45804.125</v>
      </c>
      <c r="B307" s="2">
        <v>1293</v>
      </c>
      <c r="C307" s="19" t="s">
        <v>1</v>
      </c>
      <c r="D307" s="19" t="s">
        <v>2</v>
      </c>
      <c r="E307" s="19" t="s">
        <v>2</v>
      </c>
      <c r="F307" s="19" t="s">
        <v>136</v>
      </c>
      <c r="G307" s="19" t="s">
        <v>137</v>
      </c>
      <c r="H307" s="19" t="s">
        <v>138</v>
      </c>
      <c r="I307" s="19" t="s">
        <v>1046</v>
      </c>
      <c r="J307" s="2" t="s">
        <v>2</v>
      </c>
      <c r="K307" s="20">
        <v>45804.125</v>
      </c>
      <c r="L307" s="20">
        <v>45813.125</v>
      </c>
      <c r="M307" s="22">
        <v>140</v>
      </c>
      <c r="N307" s="21">
        <v>162500</v>
      </c>
      <c r="O307" s="2" t="s">
        <v>76</v>
      </c>
      <c r="P307" s="2" t="s">
        <v>4</v>
      </c>
      <c r="Q307" s="2" t="s">
        <v>5</v>
      </c>
      <c r="R307" s="21">
        <f t="shared" si="36"/>
        <v>162500</v>
      </c>
      <c r="S307" s="21">
        <v>162500</v>
      </c>
      <c r="T307" s="5">
        <f t="shared" si="37"/>
        <v>187500</v>
      </c>
      <c r="U307">
        <f t="shared" si="38"/>
        <v>5</v>
      </c>
      <c r="V307">
        <f t="shared" si="39"/>
        <v>5</v>
      </c>
      <c r="W307" s="5">
        <f t="shared" si="40"/>
        <v>0</v>
      </c>
      <c r="X307" s="2" t="s">
        <v>6</v>
      </c>
      <c r="Y307" s="2" t="s">
        <v>2</v>
      </c>
      <c r="Z307">
        <v>856</v>
      </c>
      <c r="AA307" t="s">
        <v>1615</v>
      </c>
      <c r="AC307">
        <f t="shared" si="41"/>
        <v>2025</v>
      </c>
      <c r="AD307">
        <f t="shared" si="42"/>
        <v>2025</v>
      </c>
      <c r="AE307">
        <f t="shared" si="43"/>
        <v>2025</v>
      </c>
      <c r="AF307">
        <f t="shared" si="44"/>
        <v>6</v>
      </c>
    </row>
    <row r="308" spans="1:32" x14ac:dyDescent="0.25">
      <c r="A308" s="59">
        <v>45804.125</v>
      </c>
      <c r="B308" s="2">
        <v>1294</v>
      </c>
      <c r="C308" s="19" t="s">
        <v>135</v>
      </c>
      <c r="D308" s="19" t="s">
        <v>2</v>
      </c>
      <c r="E308" s="19" t="s">
        <v>2</v>
      </c>
      <c r="F308" s="19" t="s">
        <v>136</v>
      </c>
      <c r="G308" s="19" t="s">
        <v>137</v>
      </c>
      <c r="H308" s="19" t="s">
        <v>138</v>
      </c>
      <c r="I308" s="19" t="s">
        <v>1047</v>
      </c>
      <c r="J308" s="2" t="s">
        <v>2</v>
      </c>
      <c r="K308" s="20">
        <v>45804.125</v>
      </c>
      <c r="L308" s="20">
        <v>45806.125</v>
      </c>
      <c r="M308" s="22">
        <v>140</v>
      </c>
      <c r="N308" s="21">
        <v>162500</v>
      </c>
      <c r="O308" s="2" t="s">
        <v>76</v>
      </c>
      <c r="P308" s="2" t="s">
        <v>4</v>
      </c>
      <c r="Q308" s="2" t="s">
        <v>5</v>
      </c>
      <c r="R308" s="21">
        <f t="shared" si="36"/>
        <v>162500</v>
      </c>
      <c r="S308" s="21">
        <v>162500</v>
      </c>
      <c r="T308" s="5">
        <f t="shared" si="37"/>
        <v>187500</v>
      </c>
      <c r="U308">
        <f t="shared" si="38"/>
        <v>5</v>
      </c>
      <c r="V308">
        <f t="shared" si="39"/>
        <v>5</v>
      </c>
      <c r="W308" s="5">
        <f t="shared" si="40"/>
        <v>0</v>
      </c>
      <c r="X308" s="2" t="s">
        <v>6</v>
      </c>
      <c r="Y308" s="2" t="s">
        <v>2</v>
      </c>
      <c r="Z308">
        <v>853</v>
      </c>
      <c r="AC308">
        <f t="shared" si="41"/>
        <v>2025</v>
      </c>
      <c r="AD308">
        <f t="shared" si="42"/>
        <v>2025</v>
      </c>
      <c r="AE308">
        <f t="shared" si="43"/>
        <v>2025</v>
      </c>
      <c r="AF308">
        <f t="shared" si="44"/>
        <v>5</v>
      </c>
    </row>
    <row r="309" spans="1:32" x14ac:dyDescent="0.25">
      <c r="A309" s="59">
        <v>45805.125</v>
      </c>
      <c r="B309" s="2">
        <v>1295</v>
      </c>
      <c r="C309" s="19" t="s">
        <v>692</v>
      </c>
      <c r="D309" s="19" t="s">
        <v>2</v>
      </c>
      <c r="E309" s="19" t="s">
        <v>2</v>
      </c>
      <c r="F309" s="19" t="s">
        <v>1048</v>
      </c>
      <c r="G309" s="19" t="s">
        <v>607</v>
      </c>
      <c r="H309" s="19" t="s">
        <v>694</v>
      </c>
      <c r="I309" s="19" t="s">
        <v>1049</v>
      </c>
      <c r="J309" s="2" t="s">
        <v>2</v>
      </c>
      <c r="K309" s="20">
        <v>45813.125</v>
      </c>
      <c r="L309" s="20">
        <v>45806.125</v>
      </c>
      <c r="M309" s="22">
        <v>170</v>
      </c>
      <c r="N309" s="21">
        <v>197000</v>
      </c>
      <c r="O309" s="2" t="s">
        <v>76</v>
      </c>
      <c r="P309" s="2" t="s">
        <v>4</v>
      </c>
      <c r="Q309" s="2" t="s">
        <v>5</v>
      </c>
      <c r="R309" s="21">
        <f t="shared" si="36"/>
        <v>197000</v>
      </c>
      <c r="S309" s="21">
        <v>197000</v>
      </c>
      <c r="T309" s="5">
        <f t="shared" si="37"/>
        <v>187500</v>
      </c>
      <c r="U309">
        <f t="shared" si="38"/>
        <v>6</v>
      </c>
      <c r="V309">
        <f t="shared" si="39"/>
        <v>5</v>
      </c>
      <c r="W309" s="5">
        <f t="shared" si="40"/>
        <v>0</v>
      </c>
      <c r="X309" s="2" t="s">
        <v>6</v>
      </c>
      <c r="Y309" s="2" t="s">
        <v>2</v>
      </c>
      <c r="Z309">
        <v>862</v>
      </c>
      <c r="AC309">
        <f t="shared" si="41"/>
        <v>2025</v>
      </c>
      <c r="AD309">
        <f t="shared" si="42"/>
        <v>2025</v>
      </c>
      <c r="AE309">
        <f t="shared" si="43"/>
        <v>2025</v>
      </c>
      <c r="AF309">
        <f t="shared" si="44"/>
        <v>5</v>
      </c>
    </row>
    <row r="310" spans="1:32" x14ac:dyDescent="0.25">
      <c r="A310" s="59">
        <v>45805.125</v>
      </c>
      <c r="B310" s="2">
        <v>1296</v>
      </c>
      <c r="C310" s="19" t="s">
        <v>692</v>
      </c>
      <c r="D310" s="19" t="s">
        <v>2</v>
      </c>
      <c r="E310" s="19" t="s">
        <v>2</v>
      </c>
      <c r="F310" s="19" t="s">
        <v>1050</v>
      </c>
      <c r="G310" s="19" t="s">
        <v>607</v>
      </c>
      <c r="H310" s="19" t="s">
        <v>1051</v>
      </c>
      <c r="I310" s="19" t="s">
        <v>1052</v>
      </c>
      <c r="J310" s="2" t="s">
        <v>2</v>
      </c>
      <c r="K310" s="20">
        <v>45813.125</v>
      </c>
      <c r="L310" s="20">
        <v>45806.125</v>
      </c>
      <c r="M310" s="22">
        <v>155</v>
      </c>
      <c r="N310" s="21">
        <v>182000</v>
      </c>
      <c r="O310" s="2" t="s">
        <v>76</v>
      </c>
      <c r="P310" s="2" t="s">
        <v>4</v>
      </c>
      <c r="Q310" s="2" t="s">
        <v>5</v>
      </c>
      <c r="R310" s="21">
        <f t="shared" si="36"/>
        <v>182000</v>
      </c>
      <c r="S310" s="21">
        <v>182000</v>
      </c>
      <c r="T310" s="5">
        <f t="shared" si="37"/>
        <v>187500</v>
      </c>
      <c r="U310">
        <f t="shared" si="38"/>
        <v>6</v>
      </c>
      <c r="V310">
        <f t="shared" si="39"/>
        <v>5</v>
      </c>
      <c r="W310" s="5">
        <f t="shared" si="40"/>
        <v>0</v>
      </c>
      <c r="X310" s="2" t="s">
        <v>6</v>
      </c>
      <c r="Y310" s="2" t="s">
        <v>2</v>
      </c>
      <c r="Z310">
        <v>862</v>
      </c>
      <c r="AC310">
        <f t="shared" si="41"/>
        <v>2025</v>
      </c>
      <c r="AD310">
        <f t="shared" si="42"/>
        <v>2025</v>
      </c>
      <c r="AE310">
        <f t="shared" si="43"/>
        <v>2025</v>
      </c>
      <c r="AF310">
        <f t="shared" si="44"/>
        <v>5</v>
      </c>
    </row>
    <row r="311" spans="1:32" x14ac:dyDescent="0.25">
      <c r="A311" s="59">
        <v>45805.125</v>
      </c>
      <c r="B311" s="2">
        <v>1297</v>
      </c>
      <c r="C311" s="19" t="s">
        <v>1053</v>
      </c>
      <c r="D311" s="19" t="s">
        <v>2</v>
      </c>
      <c r="E311" s="19" t="s">
        <v>2</v>
      </c>
      <c r="F311" s="19" t="s">
        <v>1054</v>
      </c>
      <c r="G311" s="19" t="s">
        <v>1055</v>
      </c>
      <c r="H311" s="19" t="s">
        <v>1056</v>
      </c>
      <c r="I311" s="19" t="s">
        <v>1057</v>
      </c>
      <c r="J311" s="2" t="s">
        <v>2</v>
      </c>
      <c r="K311" s="20">
        <v>45817.125</v>
      </c>
      <c r="L311" s="20">
        <v>45813.125</v>
      </c>
      <c r="M311" s="22">
        <v>210</v>
      </c>
      <c r="N311" s="21">
        <v>246000</v>
      </c>
      <c r="O311" s="2" t="s">
        <v>76</v>
      </c>
      <c r="P311" s="2" t="s">
        <v>4</v>
      </c>
      <c r="Q311" s="2" t="s">
        <v>5</v>
      </c>
      <c r="R311" s="21">
        <f t="shared" si="36"/>
        <v>246000</v>
      </c>
      <c r="S311" s="21">
        <v>246000</v>
      </c>
      <c r="T311" s="5">
        <f t="shared" si="37"/>
        <v>187500</v>
      </c>
      <c r="U311">
        <f t="shared" si="38"/>
        <v>6</v>
      </c>
      <c r="V311">
        <f t="shared" si="39"/>
        <v>5</v>
      </c>
      <c r="W311" s="5">
        <f t="shared" si="40"/>
        <v>0</v>
      </c>
      <c r="X311" s="2" t="s">
        <v>6</v>
      </c>
      <c r="Y311" s="2" t="s">
        <v>2</v>
      </c>
      <c r="Z311">
        <v>857</v>
      </c>
      <c r="AA311" t="s">
        <v>1616</v>
      </c>
      <c r="AC311">
        <f t="shared" si="41"/>
        <v>2025</v>
      </c>
      <c r="AD311">
        <f t="shared" si="42"/>
        <v>2025</v>
      </c>
      <c r="AE311">
        <f t="shared" si="43"/>
        <v>2025</v>
      </c>
      <c r="AF311">
        <f t="shared" si="44"/>
        <v>6</v>
      </c>
    </row>
    <row r="312" spans="1:32" x14ac:dyDescent="0.25">
      <c r="A312" s="59">
        <v>45807.125</v>
      </c>
      <c r="B312" s="2">
        <v>1298</v>
      </c>
      <c r="C312" s="19" t="s">
        <v>893</v>
      </c>
      <c r="D312" s="19" t="s">
        <v>2</v>
      </c>
      <c r="E312" s="19" t="s">
        <v>2</v>
      </c>
      <c r="F312" s="19" t="s">
        <v>1058</v>
      </c>
      <c r="G312" s="19" t="s">
        <v>237</v>
      </c>
      <c r="H312" s="19" t="s">
        <v>1059</v>
      </c>
      <c r="I312" s="19" t="s">
        <v>1060</v>
      </c>
      <c r="J312" s="2" t="s">
        <v>2</v>
      </c>
      <c r="K312" s="20">
        <v>45807.125</v>
      </c>
      <c r="L312" s="20">
        <v>45807.125</v>
      </c>
      <c r="M312" s="22">
        <v>180</v>
      </c>
      <c r="N312" s="21">
        <v>215000</v>
      </c>
      <c r="O312" s="2" t="s">
        <v>76</v>
      </c>
      <c r="P312" s="2" t="s">
        <v>145</v>
      </c>
      <c r="Q312" s="2" t="s">
        <v>146</v>
      </c>
      <c r="R312" s="21">
        <f t="shared" si="36"/>
        <v>0</v>
      </c>
      <c r="S312" s="21">
        <v>0</v>
      </c>
      <c r="T312" s="5">
        <f t="shared" si="37"/>
        <v>187500</v>
      </c>
      <c r="U312">
        <f t="shared" si="38"/>
        <v>5</v>
      </c>
      <c r="V312">
        <f t="shared" si="39"/>
        <v>5</v>
      </c>
      <c r="W312" s="5">
        <f t="shared" si="40"/>
        <v>0</v>
      </c>
      <c r="X312" s="2" t="s">
        <v>6</v>
      </c>
      <c r="Y312" s="2" t="s">
        <v>2</v>
      </c>
      <c r="AC312">
        <f t="shared" si="41"/>
        <v>2025</v>
      </c>
      <c r="AD312">
        <f t="shared" si="42"/>
        <v>2025</v>
      </c>
      <c r="AE312">
        <f t="shared" si="43"/>
        <v>2025</v>
      </c>
      <c r="AF312">
        <f t="shared" si="44"/>
        <v>5</v>
      </c>
    </row>
    <row r="313" spans="1:32" x14ac:dyDescent="0.25">
      <c r="A313" s="59">
        <v>45810.125</v>
      </c>
      <c r="B313" s="2">
        <v>1299</v>
      </c>
      <c r="C313" s="19" t="s">
        <v>916</v>
      </c>
      <c r="D313" s="19" t="s">
        <v>2</v>
      </c>
      <c r="E313" s="19" t="s">
        <v>2</v>
      </c>
      <c r="F313" s="19" t="s">
        <v>298</v>
      </c>
      <c r="G313" s="19" t="s">
        <v>1061</v>
      </c>
      <c r="H313" s="19" t="s">
        <v>1061</v>
      </c>
      <c r="I313" s="19" t="s">
        <v>1062</v>
      </c>
      <c r="J313" s="2" t="s">
        <v>2</v>
      </c>
      <c r="K313" s="20">
        <v>45810.125</v>
      </c>
      <c r="L313" s="20">
        <v>45818.125</v>
      </c>
      <c r="M313" s="22">
        <v>207</v>
      </c>
      <c r="N313" s="21">
        <v>248400</v>
      </c>
      <c r="O313" s="2" t="s">
        <v>76</v>
      </c>
      <c r="P313" s="2" t="s">
        <v>4</v>
      </c>
      <c r="Q313" s="2" t="s">
        <v>5</v>
      </c>
      <c r="R313" s="21">
        <f t="shared" si="36"/>
        <v>248400</v>
      </c>
      <c r="S313" s="21">
        <v>248400</v>
      </c>
      <c r="T313" s="5">
        <f t="shared" si="37"/>
        <v>187500</v>
      </c>
      <c r="U313">
        <f t="shared" si="38"/>
        <v>6</v>
      </c>
      <c r="V313">
        <f t="shared" si="39"/>
        <v>6</v>
      </c>
      <c r="W313" s="5">
        <f t="shared" si="40"/>
        <v>0</v>
      </c>
      <c r="X313" s="2" t="s">
        <v>6</v>
      </c>
      <c r="Y313" s="2" t="s">
        <v>2</v>
      </c>
      <c r="Z313">
        <v>863</v>
      </c>
      <c r="AA313" t="s">
        <v>1617</v>
      </c>
      <c r="AC313">
        <f t="shared" si="41"/>
        <v>2025</v>
      </c>
      <c r="AD313">
        <f t="shared" si="42"/>
        <v>2025</v>
      </c>
      <c r="AE313">
        <f t="shared" si="43"/>
        <v>2025</v>
      </c>
      <c r="AF313">
        <f t="shared" si="44"/>
        <v>6</v>
      </c>
    </row>
    <row r="314" spans="1:32" x14ac:dyDescent="0.25">
      <c r="A314" s="59">
        <v>45812.125</v>
      </c>
      <c r="B314" s="2">
        <v>1300</v>
      </c>
      <c r="C314" s="19" t="s">
        <v>202</v>
      </c>
      <c r="D314" s="19" t="s">
        <v>2</v>
      </c>
      <c r="E314" s="19" t="s">
        <v>2</v>
      </c>
      <c r="F314" s="19" t="s">
        <v>1063</v>
      </c>
      <c r="G314" s="19" t="s">
        <v>0</v>
      </c>
      <c r="H314" s="19" t="s">
        <v>1064</v>
      </c>
      <c r="I314" s="19" t="s">
        <v>1065</v>
      </c>
      <c r="J314" s="2" t="s">
        <v>2</v>
      </c>
      <c r="K314" s="20">
        <v>45812.125</v>
      </c>
      <c r="L314" s="20">
        <v>45812.125</v>
      </c>
      <c r="M314" s="22">
        <v>90</v>
      </c>
      <c r="N314" s="21">
        <v>108000</v>
      </c>
      <c r="O314" s="2" t="s">
        <v>76</v>
      </c>
      <c r="P314" s="2" t="s">
        <v>4</v>
      </c>
      <c r="Q314" s="2" t="s">
        <v>5</v>
      </c>
      <c r="R314" s="21">
        <f t="shared" si="36"/>
        <v>108000</v>
      </c>
      <c r="S314" s="21">
        <v>108000</v>
      </c>
      <c r="T314" s="5">
        <f t="shared" si="37"/>
        <v>187500</v>
      </c>
      <c r="U314">
        <f t="shared" si="38"/>
        <v>6</v>
      </c>
      <c r="V314">
        <f t="shared" si="39"/>
        <v>6</v>
      </c>
      <c r="W314" s="5">
        <f t="shared" si="40"/>
        <v>0</v>
      </c>
      <c r="X314" s="2" t="s">
        <v>6</v>
      </c>
      <c r="Y314" s="2" t="s">
        <v>2</v>
      </c>
      <c r="Z314">
        <v>865</v>
      </c>
      <c r="AA314" t="s">
        <v>1618</v>
      </c>
      <c r="AC314">
        <f t="shared" si="41"/>
        <v>2025</v>
      </c>
      <c r="AD314">
        <f t="shared" si="42"/>
        <v>2025</v>
      </c>
      <c r="AE314">
        <f t="shared" si="43"/>
        <v>2025</v>
      </c>
      <c r="AF314">
        <f t="shared" si="44"/>
        <v>6</v>
      </c>
    </row>
    <row r="315" spans="1:32" x14ac:dyDescent="0.25">
      <c r="A315" s="59">
        <v>45812.125</v>
      </c>
      <c r="B315" s="2">
        <v>1301</v>
      </c>
      <c r="C315" s="19" t="s">
        <v>1066</v>
      </c>
      <c r="D315" s="19" t="s">
        <v>2</v>
      </c>
      <c r="E315" s="19" t="s">
        <v>2</v>
      </c>
      <c r="F315" s="19" t="s">
        <v>298</v>
      </c>
      <c r="G315" s="19" t="s">
        <v>1061</v>
      </c>
      <c r="H315" s="19" t="s">
        <v>1067</v>
      </c>
      <c r="I315" s="19" t="s">
        <v>1068</v>
      </c>
      <c r="J315" s="2" t="s">
        <v>2</v>
      </c>
      <c r="K315" s="20">
        <v>45812.125</v>
      </c>
      <c r="L315" s="20">
        <v>45813.125</v>
      </c>
      <c r="M315" s="22">
        <v>210</v>
      </c>
      <c r="N315" s="21">
        <v>252000</v>
      </c>
      <c r="O315" s="2" t="s">
        <v>76</v>
      </c>
      <c r="P315" s="2" t="s">
        <v>4</v>
      </c>
      <c r="Q315" s="2" t="s">
        <v>5</v>
      </c>
      <c r="R315" s="21">
        <f t="shared" si="36"/>
        <v>252000</v>
      </c>
      <c r="S315" s="21">
        <v>252000</v>
      </c>
      <c r="T315" s="5">
        <f t="shared" si="37"/>
        <v>187500</v>
      </c>
      <c r="U315">
        <f t="shared" si="38"/>
        <v>6</v>
      </c>
      <c r="V315">
        <f t="shared" si="39"/>
        <v>6</v>
      </c>
      <c r="W315" s="5">
        <f t="shared" si="40"/>
        <v>0</v>
      </c>
      <c r="X315" s="2" t="s">
        <v>6</v>
      </c>
      <c r="Y315" s="2" t="s">
        <v>2</v>
      </c>
      <c r="Z315">
        <v>854</v>
      </c>
      <c r="AA315" t="s">
        <v>1619</v>
      </c>
      <c r="AC315">
        <f t="shared" si="41"/>
        <v>2025</v>
      </c>
      <c r="AD315">
        <f t="shared" si="42"/>
        <v>2025</v>
      </c>
      <c r="AE315">
        <f t="shared" si="43"/>
        <v>2025</v>
      </c>
      <c r="AF315">
        <f t="shared" si="44"/>
        <v>6</v>
      </c>
    </row>
    <row r="316" spans="1:32" x14ac:dyDescent="0.25">
      <c r="A316" s="59">
        <v>45813.125</v>
      </c>
      <c r="B316" s="2">
        <v>1302</v>
      </c>
      <c r="C316" s="19" t="s">
        <v>1000</v>
      </c>
      <c r="D316" s="19" t="s">
        <v>2</v>
      </c>
      <c r="E316" s="19" t="s">
        <v>2</v>
      </c>
      <c r="F316" s="19" t="s">
        <v>86</v>
      </c>
      <c r="G316" s="19" t="s">
        <v>351</v>
      </c>
      <c r="H316" s="19" t="s">
        <v>430</v>
      </c>
      <c r="I316" s="19" t="s">
        <v>1069</v>
      </c>
      <c r="J316" s="2" t="s">
        <v>2</v>
      </c>
      <c r="K316" s="20">
        <v>45813.125</v>
      </c>
      <c r="L316" s="20">
        <v>45813.125</v>
      </c>
      <c r="M316" s="22">
        <v>163</v>
      </c>
      <c r="N316" s="21">
        <v>195000</v>
      </c>
      <c r="O316" s="2" t="s">
        <v>76</v>
      </c>
      <c r="P316" s="2" t="s">
        <v>4</v>
      </c>
      <c r="Q316" s="2" t="s">
        <v>5</v>
      </c>
      <c r="R316" s="21">
        <f t="shared" si="36"/>
        <v>195000</v>
      </c>
      <c r="S316" s="21">
        <v>195000</v>
      </c>
      <c r="T316" s="5">
        <f t="shared" si="37"/>
        <v>187500</v>
      </c>
      <c r="U316">
        <f t="shared" si="38"/>
        <v>6</v>
      </c>
      <c r="V316">
        <f t="shared" si="39"/>
        <v>6</v>
      </c>
      <c r="W316" s="5">
        <f t="shared" si="40"/>
        <v>0</v>
      </c>
      <c r="X316" s="2" t="s">
        <v>6</v>
      </c>
      <c r="Y316" s="2" t="s">
        <v>2</v>
      </c>
      <c r="Z316">
        <v>855</v>
      </c>
      <c r="AC316">
        <f t="shared" si="41"/>
        <v>2025</v>
      </c>
      <c r="AD316">
        <f t="shared" si="42"/>
        <v>2025</v>
      </c>
      <c r="AE316">
        <f t="shared" si="43"/>
        <v>2025</v>
      </c>
      <c r="AF316">
        <f t="shared" si="44"/>
        <v>6</v>
      </c>
    </row>
    <row r="317" spans="1:32" x14ac:dyDescent="0.25">
      <c r="A317" s="59">
        <v>45815.125</v>
      </c>
      <c r="B317" s="2">
        <v>1303</v>
      </c>
      <c r="C317" s="19" t="s">
        <v>218</v>
      </c>
      <c r="D317" s="19" t="s">
        <v>2</v>
      </c>
      <c r="E317" s="19" t="s">
        <v>2</v>
      </c>
      <c r="F317" s="19" t="s">
        <v>1070</v>
      </c>
      <c r="G317" s="19" t="s">
        <v>1071</v>
      </c>
      <c r="H317" s="19" t="s">
        <v>1072</v>
      </c>
      <c r="I317" s="19" t="s">
        <v>1073</v>
      </c>
      <c r="J317" s="2" t="s">
        <v>2</v>
      </c>
      <c r="K317" s="20">
        <v>45815.125</v>
      </c>
      <c r="L317" s="20">
        <v>45818.125</v>
      </c>
      <c r="M317" s="22">
        <v>180</v>
      </c>
      <c r="N317" s="21">
        <v>216000</v>
      </c>
      <c r="O317" s="2" t="s">
        <v>76</v>
      </c>
      <c r="P317" s="2" t="s">
        <v>4</v>
      </c>
      <c r="Q317" s="2" t="s">
        <v>5</v>
      </c>
      <c r="R317" s="21">
        <f t="shared" si="36"/>
        <v>216000</v>
      </c>
      <c r="S317" s="21">
        <v>216000</v>
      </c>
      <c r="T317" s="5">
        <f t="shared" si="37"/>
        <v>187500</v>
      </c>
      <c r="U317">
        <f t="shared" si="38"/>
        <v>6</v>
      </c>
      <c r="V317">
        <f t="shared" si="39"/>
        <v>6</v>
      </c>
      <c r="W317" s="5">
        <f t="shared" si="40"/>
        <v>0</v>
      </c>
      <c r="X317" s="2" t="s">
        <v>6</v>
      </c>
      <c r="Y317" s="2" t="s">
        <v>2</v>
      </c>
      <c r="Z317">
        <v>858</v>
      </c>
      <c r="AA317" t="s">
        <v>1620</v>
      </c>
      <c r="AC317">
        <f t="shared" si="41"/>
        <v>2025</v>
      </c>
      <c r="AD317">
        <f t="shared" si="42"/>
        <v>2025</v>
      </c>
      <c r="AE317">
        <f t="shared" si="43"/>
        <v>2025</v>
      </c>
      <c r="AF317">
        <f t="shared" si="44"/>
        <v>6</v>
      </c>
    </row>
    <row r="318" spans="1:32" x14ac:dyDescent="0.25">
      <c r="A318" s="59">
        <v>45815.125</v>
      </c>
      <c r="B318" s="2">
        <v>1304</v>
      </c>
      <c r="C318" s="19" t="s">
        <v>789</v>
      </c>
      <c r="D318" s="19" t="s">
        <v>2</v>
      </c>
      <c r="E318" s="19" t="s">
        <v>2</v>
      </c>
      <c r="F318" s="19" t="s">
        <v>574</v>
      </c>
      <c r="G318" s="19" t="s">
        <v>351</v>
      </c>
      <c r="H318" s="19" t="s">
        <v>575</v>
      </c>
      <c r="I318" s="19" t="s">
        <v>1074</v>
      </c>
      <c r="J318" s="2" t="s">
        <v>2</v>
      </c>
      <c r="K318" s="20">
        <v>45815.125</v>
      </c>
      <c r="L318" s="20">
        <v>45818.125</v>
      </c>
      <c r="M318" s="22">
        <v>45</v>
      </c>
      <c r="N318" s="21">
        <v>55000</v>
      </c>
      <c r="O318" s="2" t="s">
        <v>76</v>
      </c>
      <c r="P318" s="2" t="s">
        <v>4</v>
      </c>
      <c r="Q318" s="2" t="s">
        <v>5</v>
      </c>
      <c r="R318" s="21">
        <f t="shared" si="36"/>
        <v>55000</v>
      </c>
      <c r="S318" s="21">
        <v>55000</v>
      </c>
      <c r="T318" s="5">
        <f t="shared" si="37"/>
        <v>187500</v>
      </c>
      <c r="U318">
        <f t="shared" si="38"/>
        <v>6</v>
      </c>
      <c r="V318">
        <f t="shared" si="39"/>
        <v>6</v>
      </c>
      <c r="W318" s="5">
        <f t="shared" si="40"/>
        <v>0</v>
      </c>
      <c r="X318" s="2" t="s">
        <v>6</v>
      </c>
      <c r="Y318" s="2" t="s">
        <v>2</v>
      </c>
      <c r="Z318">
        <v>859</v>
      </c>
      <c r="AA318" t="s">
        <v>1621</v>
      </c>
      <c r="AC318">
        <f t="shared" si="41"/>
        <v>2025</v>
      </c>
      <c r="AD318">
        <f t="shared" si="42"/>
        <v>2025</v>
      </c>
      <c r="AE318">
        <f t="shared" si="43"/>
        <v>2025</v>
      </c>
      <c r="AF318">
        <f t="shared" si="44"/>
        <v>6</v>
      </c>
    </row>
    <row r="319" spans="1:32" x14ac:dyDescent="0.25">
      <c r="A319" s="59">
        <v>45817.125</v>
      </c>
      <c r="B319" s="2">
        <v>1305</v>
      </c>
      <c r="C319" s="19" t="s">
        <v>535</v>
      </c>
      <c r="D319" s="19" t="s">
        <v>2</v>
      </c>
      <c r="E319" s="19" t="s">
        <v>2</v>
      </c>
      <c r="F319" s="19" t="s">
        <v>86</v>
      </c>
      <c r="G319" s="19" t="s">
        <v>94</v>
      </c>
      <c r="H319" s="19" t="s">
        <v>321</v>
      </c>
      <c r="I319" s="19" t="s">
        <v>1075</v>
      </c>
      <c r="J319" s="2" t="s">
        <v>2</v>
      </c>
      <c r="K319" s="20">
        <v>45817.125</v>
      </c>
      <c r="L319" s="20">
        <v>45818.125</v>
      </c>
      <c r="M319" s="22">
        <v>163</v>
      </c>
      <c r="N319" s="21">
        <v>195000</v>
      </c>
      <c r="O319" s="2" t="s">
        <v>76</v>
      </c>
      <c r="P319" s="2" t="s">
        <v>4</v>
      </c>
      <c r="Q319" s="2" t="s">
        <v>5</v>
      </c>
      <c r="R319" s="21">
        <f t="shared" si="36"/>
        <v>195000</v>
      </c>
      <c r="S319" s="21">
        <v>195000</v>
      </c>
      <c r="T319" s="5">
        <f t="shared" si="37"/>
        <v>187500</v>
      </c>
      <c r="U319">
        <f t="shared" si="38"/>
        <v>6</v>
      </c>
      <c r="V319">
        <f t="shared" si="39"/>
        <v>6</v>
      </c>
      <c r="W319" s="5">
        <f t="shared" si="40"/>
        <v>0</v>
      </c>
      <c r="X319" s="2" t="s">
        <v>6</v>
      </c>
      <c r="Y319" s="2" t="s">
        <v>2</v>
      </c>
      <c r="Z319">
        <v>861</v>
      </c>
      <c r="AC319">
        <f t="shared" si="41"/>
        <v>2025</v>
      </c>
      <c r="AD319">
        <f t="shared" si="42"/>
        <v>2025</v>
      </c>
      <c r="AE319">
        <f t="shared" si="43"/>
        <v>2025</v>
      </c>
      <c r="AF319">
        <f t="shared" si="44"/>
        <v>6</v>
      </c>
    </row>
    <row r="320" spans="1:32" x14ac:dyDescent="0.25">
      <c r="A320" s="59">
        <v>45818.125</v>
      </c>
      <c r="B320" s="2">
        <v>1306</v>
      </c>
      <c r="C320" s="19" t="s">
        <v>799</v>
      </c>
      <c r="D320" s="19" t="s">
        <v>2</v>
      </c>
      <c r="E320" s="19" t="s">
        <v>2</v>
      </c>
      <c r="F320" s="19" t="s">
        <v>272</v>
      </c>
      <c r="G320" s="19" t="s">
        <v>351</v>
      </c>
      <c r="H320" s="19" t="s">
        <v>1076</v>
      </c>
      <c r="I320" s="19" t="s">
        <v>1077</v>
      </c>
      <c r="J320" s="2" t="s">
        <v>2</v>
      </c>
      <c r="K320" s="20">
        <v>45818.125</v>
      </c>
      <c r="L320" s="20">
        <v>45818.125</v>
      </c>
      <c r="M320" s="22">
        <v>200</v>
      </c>
      <c r="N320" s="21">
        <v>240000</v>
      </c>
      <c r="O320" s="2" t="s">
        <v>76</v>
      </c>
      <c r="P320" s="2" t="s">
        <v>4</v>
      </c>
      <c r="Q320" s="2" t="s">
        <v>5</v>
      </c>
      <c r="R320" s="21">
        <f t="shared" si="36"/>
        <v>240000</v>
      </c>
      <c r="S320" s="21">
        <v>240000</v>
      </c>
      <c r="T320" s="5">
        <f t="shared" si="37"/>
        <v>187500</v>
      </c>
      <c r="U320">
        <f t="shared" si="38"/>
        <v>6</v>
      </c>
      <c r="V320">
        <f t="shared" si="39"/>
        <v>6</v>
      </c>
      <c r="W320" s="5">
        <f t="shared" si="40"/>
        <v>0</v>
      </c>
      <c r="X320" s="2" t="s">
        <v>6</v>
      </c>
      <c r="Y320" s="2" t="s">
        <v>2</v>
      </c>
      <c r="Z320">
        <v>860</v>
      </c>
      <c r="AA320" t="s">
        <v>1622</v>
      </c>
      <c r="AC320">
        <f t="shared" si="41"/>
        <v>2025</v>
      </c>
      <c r="AD320">
        <f t="shared" si="42"/>
        <v>2025</v>
      </c>
      <c r="AE320">
        <f t="shared" si="43"/>
        <v>2025</v>
      </c>
      <c r="AF320">
        <f t="shared" si="44"/>
        <v>6</v>
      </c>
    </row>
    <row r="321" spans="1:32" x14ac:dyDescent="0.25">
      <c r="A321" s="59">
        <v>45819.125</v>
      </c>
      <c r="B321" s="2">
        <v>1307</v>
      </c>
      <c r="C321" s="19" t="s">
        <v>1078</v>
      </c>
      <c r="D321" s="19" t="s">
        <v>2</v>
      </c>
      <c r="E321" s="19" t="s">
        <v>2</v>
      </c>
      <c r="F321" s="19" t="s">
        <v>660</v>
      </c>
      <c r="G321" s="19" t="s">
        <v>745</v>
      </c>
      <c r="H321" s="19" t="s">
        <v>1079</v>
      </c>
      <c r="I321" s="19" t="s">
        <v>1080</v>
      </c>
      <c r="J321" s="2" t="s">
        <v>2</v>
      </c>
      <c r="K321" s="20">
        <v>45819.125</v>
      </c>
      <c r="L321" s="20">
        <v>45820.125</v>
      </c>
      <c r="M321" s="22">
        <v>160</v>
      </c>
      <c r="N321" s="21">
        <v>192000</v>
      </c>
      <c r="O321" s="2" t="s">
        <v>76</v>
      </c>
      <c r="P321" s="2" t="s">
        <v>4</v>
      </c>
      <c r="Q321" s="2" t="s">
        <v>5</v>
      </c>
      <c r="R321" s="21">
        <f t="shared" si="36"/>
        <v>192000</v>
      </c>
      <c r="S321" s="21">
        <v>192000</v>
      </c>
      <c r="T321" s="5">
        <f t="shared" si="37"/>
        <v>187500</v>
      </c>
      <c r="U321">
        <f t="shared" si="38"/>
        <v>6</v>
      </c>
      <c r="V321">
        <f t="shared" si="39"/>
        <v>6</v>
      </c>
      <c r="W321" s="5">
        <f t="shared" si="40"/>
        <v>0</v>
      </c>
      <c r="X321" s="2" t="s">
        <v>6</v>
      </c>
      <c r="Y321" s="2" t="s">
        <v>2</v>
      </c>
      <c r="Z321">
        <v>864</v>
      </c>
      <c r="AA321" t="s">
        <v>1623</v>
      </c>
      <c r="AC321">
        <f t="shared" si="41"/>
        <v>2025</v>
      </c>
      <c r="AD321">
        <f t="shared" si="42"/>
        <v>2025</v>
      </c>
      <c r="AE321">
        <f t="shared" si="43"/>
        <v>2025</v>
      </c>
      <c r="AF321">
        <f t="shared" si="44"/>
        <v>6</v>
      </c>
    </row>
    <row r="322" spans="1:32" x14ac:dyDescent="0.25">
      <c r="A322" s="59">
        <v>45820.125</v>
      </c>
      <c r="B322" s="2">
        <v>1308</v>
      </c>
      <c r="C322" s="19" t="s">
        <v>1081</v>
      </c>
      <c r="D322" s="19" t="s">
        <v>2</v>
      </c>
      <c r="E322" s="19" t="s">
        <v>2</v>
      </c>
      <c r="F322" s="19" t="s">
        <v>86</v>
      </c>
      <c r="G322" s="19" t="s">
        <v>1082</v>
      </c>
      <c r="H322" s="19" t="s">
        <v>1083</v>
      </c>
      <c r="I322" s="19" t="s">
        <v>1084</v>
      </c>
      <c r="J322" s="2" t="s">
        <v>2</v>
      </c>
      <c r="K322" s="20">
        <v>45820.125</v>
      </c>
      <c r="L322" s="20">
        <v>45820.125</v>
      </c>
      <c r="M322" s="22">
        <v>180</v>
      </c>
      <c r="N322" s="21">
        <v>216000</v>
      </c>
      <c r="O322" s="2" t="s">
        <v>76</v>
      </c>
      <c r="P322" s="2" t="s">
        <v>4</v>
      </c>
      <c r="Q322" s="2" t="s">
        <v>5</v>
      </c>
      <c r="R322" s="21">
        <f t="shared" ref="R322:R385" si="45">IF(Q322="Aceptado",N322,0)</f>
        <v>216000</v>
      </c>
      <c r="S322" s="21">
        <v>216000</v>
      </c>
      <c r="T322" s="5">
        <f t="shared" ref="T322:T385" si="46">IFERROR(+T321+R322-S322,0)</f>
        <v>187500</v>
      </c>
      <c r="U322">
        <f t="shared" ref="U322:U385" si="47">IF(NOT(ISBLANK(K322)),MONTH(K322),"")</f>
        <v>6</v>
      </c>
      <c r="V322">
        <f t="shared" ref="V322:V385" si="48">IF(NOT(ISBLANK(A322)),MONTH(A322),"")</f>
        <v>6</v>
      </c>
      <c r="W322" s="5">
        <f t="shared" ref="W322:W385" si="49">IFERROR(+S322-R322,0)</f>
        <v>0</v>
      </c>
      <c r="X322" s="2" t="s">
        <v>6</v>
      </c>
      <c r="Y322" s="2" t="s">
        <v>2</v>
      </c>
      <c r="Z322">
        <v>866</v>
      </c>
      <c r="AC322">
        <f t="shared" ref="AC322:AC385" si="50">IF(NOT(ISBLANK(K322)),YEAR(K322),"")</f>
        <v>2025</v>
      </c>
      <c r="AD322">
        <f t="shared" ref="AD322:AD385" si="51">IF(NOT(ISBLANK(A322)),YEAR(A322),"")</f>
        <v>2025</v>
      </c>
      <c r="AE322">
        <f t="shared" ref="AE322:AE385" si="52">IF(NOT(ISBLANK(L322)),YEAR(L322),"")</f>
        <v>2025</v>
      </c>
      <c r="AF322">
        <f t="shared" ref="AF322:AF385" si="53">IF(NOT(ISBLANK(L322)),MONTH(L322),"")</f>
        <v>6</v>
      </c>
    </row>
    <row r="323" spans="1:32" x14ac:dyDescent="0.25">
      <c r="A323" s="59">
        <v>45821.125</v>
      </c>
      <c r="B323" s="2">
        <v>1309</v>
      </c>
      <c r="C323" s="19" t="s">
        <v>0</v>
      </c>
      <c r="D323" s="19" t="s">
        <v>111</v>
      </c>
      <c r="E323" s="19" t="s">
        <v>2</v>
      </c>
      <c r="F323" s="19" t="s">
        <v>1085</v>
      </c>
      <c r="G323" s="19" t="s">
        <v>1086</v>
      </c>
      <c r="H323" s="19" t="s">
        <v>1087</v>
      </c>
      <c r="I323" s="19" t="s">
        <v>1088</v>
      </c>
      <c r="J323" s="2" t="s">
        <v>2</v>
      </c>
      <c r="K323" s="20">
        <v>45835.125</v>
      </c>
      <c r="L323" s="20">
        <v>45835.125</v>
      </c>
      <c r="M323" s="22">
        <v>274</v>
      </c>
      <c r="N323" s="21">
        <v>327850</v>
      </c>
      <c r="O323" s="2" t="s">
        <v>76</v>
      </c>
      <c r="P323" s="2" t="s">
        <v>4</v>
      </c>
      <c r="Q323" s="2" t="s">
        <v>5</v>
      </c>
      <c r="R323" s="21">
        <f t="shared" si="45"/>
        <v>327850</v>
      </c>
      <c r="S323" s="21">
        <v>327850</v>
      </c>
      <c r="T323" s="5">
        <f t="shared" si="46"/>
        <v>187500</v>
      </c>
      <c r="U323">
        <f t="shared" si="47"/>
        <v>6</v>
      </c>
      <c r="V323">
        <f t="shared" si="48"/>
        <v>6</v>
      </c>
      <c r="W323" s="5">
        <f t="shared" si="49"/>
        <v>0</v>
      </c>
      <c r="X323" s="2" t="s">
        <v>6</v>
      </c>
      <c r="Y323" s="2" t="s">
        <v>2</v>
      </c>
      <c r="AA323" t="s">
        <v>1624</v>
      </c>
      <c r="AC323">
        <f t="shared" si="50"/>
        <v>2025</v>
      </c>
      <c r="AD323">
        <f t="shared" si="51"/>
        <v>2025</v>
      </c>
      <c r="AE323">
        <f t="shared" si="52"/>
        <v>2025</v>
      </c>
      <c r="AF323">
        <f t="shared" si="53"/>
        <v>6</v>
      </c>
    </row>
    <row r="324" spans="1:32" x14ac:dyDescent="0.25">
      <c r="A324" s="59">
        <v>45821.125</v>
      </c>
      <c r="B324" s="2">
        <v>1310</v>
      </c>
      <c r="C324" s="19" t="s">
        <v>1089</v>
      </c>
      <c r="D324" s="19" t="s">
        <v>2</v>
      </c>
      <c r="E324" s="19" t="s">
        <v>2</v>
      </c>
      <c r="F324" s="19" t="s">
        <v>1090</v>
      </c>
      <c r="G324" s="19" t="s">
        <v>1091</v>
      </c>
      <c r="H324" s="19" t="s">
        <v>1092</v>
      </c>
      <c r="I324" s="19" t="s">
        <v>1093</v>
      </c>
      <c r="J324" s="2" t="s">
        <v>2</v>
      </c>
      <c r="K324" s="20">
        <v>45834.125</v>
      </c>
      <c r="L324" s="20">
        <v>45821.125</v>
      </c>
      <c r="M324" s="22">
        <v>400</v>
      </c>
      <c r="N324" s="21">
        <v>478000</v>
      </c>
      <c r="O324" s="2" t="s">
        <v>76</v>
      </c>
      <c r="P324" s="2" t="s">
        <v>4</v>
      </c>
      <c r="Q324" s="2" t="s">
        <v>5</v>
      </c>
      <c r="R324" s="21">
        <f t="shared" si="45"/>
        <v>478000</v>
      </c>
      <c r="S324" s="21">
        <v>478000</v>
      </c>
      <c r="T324" s="5">
        <f t="shared" si="46"/>
        <v>187500</v>
      </c>
      <c r="U324">
        <f t="shared" si="47"/>
        <v>6</v>
      </c>
      <c r="V324">
        <f t="shared" si="48"/>
        <v>6</v>
      </c>
      <c r="W324" s="5">
        <f t="shared" si="49"/>
        <v>0</v>
      </c>
      <c r="X324" s="2" t="s">
        <v>6</v>
      </c>
      <c r="Y324" s="2" t="s">
        <v>2</v>
      </c>
      <c r="Z324">
        <v>881</v>
      </c>
      <c r="AA324" t="s">
        <v>1625</v>
      </c>
      <c r="AC324">
        <f t="shared" si="50"/>
        <v>2025</v>
      </c>
      <c r="AD324">
        <f t="shared" si="51"/>
        <v>2025</v>
      </c>
      <c r="AE324">
        <f t="shared" si="52"/>
        <v>2025</v>
      </c>
      <c r="AF324">
        <f t="shared" si="53"/>
        <v>6</v>
      </c>
    </row>
    <row r="325" spans="1:32" x14ac:dyDescent="0.25">
      <c r="A325" s="59">
        <v>45825.125</v>
      </c>
      <c r="B325" s="2">
        <v>1311</v>
      </c>
      <c r="C325" s="19" t="s">
        <v>1000</v>
      </c>
      <c r="D325" s="19" t="s">
        <v>2</v>
      </c>
      <c r="E325" s="19" t="s">
        <v>2</v>
      </c>
      <c r="F325" s="19" t="s">
        <v>86</v>
      </c>
      <c r="G325" s="19" t="s">
        <v>94</v>
      </c>
      <c r="H325" s="19" t="s">
        <v>321</v>
      </c>
      <c r="I325" s="19" t="s">
        <v>1094</v>
      </c>
      <c r="J325" s="2" t="s">
        <v>2</v>
      </c>
      <c r="K325" s="20">
        <v>45825.125</v>
      </c>
      <c r="L325" s="20">
        <v>45825.125</v>
      </c>
      <c r="M325" s="22">
        <v>167</v>
      </c>
      <c r="N325" s="21">
        <v>198000</v>
      </c>
      <c r="O325" s="2" t="s">
        <v>76</v>
      </c>
      <c r="P325" s="2" t="s">
        <v>4</v>
      </c>
      <c r="Q325" s="2" t="s">
        <v>5</v>
      </c>
      <c r="R325" s="21">
        <f t="shared" si="45"/>
        <v>198000</v>
      </c>
      <c r="S325" s="21">
        <v>198000</v>
      </c>
      <c r="T325" s="5">
        <f t="shared" si="46"/>
        <v>187500</v>
      </c>
      <c r="U325">
        <f t="shared" si="47"/>
        <v>6</v>
      </c>
      <c r="V325">
        <f t="shared" si="48"/>
        <v>6</v>
      </c>
      <c r="W325" s="5">
        <f t="shared" si="49"/>
        <v>0</v>
      </c>
      <c r="X325" s="2" t="s">
        <v>6</v>
      </c>
      <c r="Y325" s="2" t="s">
        <v>2</v>
      </c>
      <c r="Z325">
        <v>867</v>
      </c>
      <c r="AC325">
        <f t="shared" si="50"/>
        <v>2025</v>
      </c>
      <c r="AD325">
        <f t="shared" si="51"/>
        <v>2025</v>
      </c>
      <c r="AE325">
        <f t="shared" si="52"/>
        <v>2025</v>
      </c>
      <c r="AF325">
        <f t="shared" si="53"/>
        <v>6</v>
      </c>
    </row>
    <row r="326" spans="1:32" x14ac:dyDescent="0.25">
      <c r="A326" s="59">
        <v>45827.125</v>
      </c>
      <c r="B326" s="2">
        <v>1312</v>
      </c>
      <c r="C326" s="19" t="s">
        <v>1066</v>
      </c>
      <c r="D326" s="19" t="s">
        <v>2</v>
      </c>
      <c r="E326" s="19" t="s">
        <v>2</v>
      </c>
      <c r="F326" s="19" t="s">
        <v>1095</v>
      </c>
      <c r="G326" s="19" t="s">
        <v>745</v>
      </c>
      <c r="H326" s="19" t="s">
        <v>1096</v>
      </c>
      <c r="I326" s="19" t="s">
        <v>1097</v>
      </c>
      <c r="J326" s="2" t="s">
        <v>2</v>
      </c>
      <c r="K326" s="20">
        <v>45827.125</v>
      </c>
      <c r="L326" s="20">
        <v>45827.125</v>
      </c>
      <c r="M326" s="22">
        <v>165</v>
      </c>
      <c r="N326" s="21">
        <v>196000</v>
      </c>
      <c r="O326" s="2" t="s">
        <v>76</v>
      </c>
      <c r="P326" s="2" t="s">
        <v>4</v>
      </c>
      <c r="Q326" s="2" t="s">
        <v>5</v>
      </c>
      <c r="R326" s="21">
        <f t="shared" si="45"/>
        <v>196000</v>
      </c>
      <c r="S326" s="21">
        <v>196000</v>
      </c>
      <c r="T326" s="5">
        <f t="shared" si="46"/>
        <v>187500</v>
      </c>
      <c r="U326">
        <f t="shared" si="47"/>
        <v>6</v>
      </c>
      <c r="V326">
        <f t="shared" si="48"/>
        <v>6</v>
      </c>
      <c r="W326" s="5">
        <f t="shared" si="49"/>
        <v>0</v>
      </c>
      <c r="X326" s="2" t="s">
        <v>6</v>
      </c>
      <c r="Y326" s="2" t="s">
        <v>2</v>
      </c>
      <c r="Z326">
        <v>868</v>
      </c>
      <c r="AA326" t="s">
        <v>1626</v>
      </c>
      <c r="AC326">
        <f t="shared" si="50"/>
        <v>2025</v>
      </c>
      <c r="AD326">
        <f t="shared" si="51"/>
        <v>2025</v>
      </c>
      <c r="AE326">
        <f t="shared" si="52"/>
        <v>2025</v>
      </c>
      <c r="AF326">
        <f t="shared" si="53"/>
        <v>6</v>
      </c>
    </row>
    <row r="327" spans="1:32" x14ac:dyDescent="0.25">
      <c r="A327" s="59">
        <v>45827.125</v>
      </c>
      <c r="B327" s="2">
        <v>1313</v>
      </c>
      <c r="C327" s="19" t="s">
        <v>0</v>
      </c>
      <c r="D327" s="19" t="s">
        <v>111</v>
      </c>
      <c r="E327" s="19" t="s">
        <v>1098</v>
      </c>
      <c r="F327" s="19" t="s">
        <v>1099</v>
      </c>
      <c r="G327" s="19" t="s">
        <v>607</v>
      </c>
      <c r="H327" s="19" t="s">
        <v>1100</v>
      </c>
      <c r="I327" s="19" t="s">
        <v>1101</v>
      </c>
      <c r="J327" s="2" t="s">
        <v>1102</v>
      </c>
      <c r="K327" s="20">
        <v>45903.125</v>
      </c>
      <c r="L327" s="20">
        <v>45898.125</v>
      </c>
      <c r="M327" s="22">
        <v>1577</v>
      </c>
      <c r="N327" s="21">
        <v>1813550</v>
      </c>
      <c r="O327" s="2" t="s">
        <v>76</v>
      </c>
      <c r="P327" s="2" t="s">
        <v>4</v>
      </c>
      <c r="Q327" s="2" t="s">
        <v>5</v>
      </c>
      <c r="R327" s="21">
        <f t="shared" si="45"/>
        <v>1813550</v>
      </c>
      <c r="S327" s="21">
        <v>1813550</v>
      </c>
      <c r="T327" s="5">
        <f t="shared" si="46"/>
        <v>187500</v>
      </c>
      <c r="U327">
        <f t="shared" si="47"/>
        <v>9</v>
      </c>
      <c r="V327">
        <f t="shared" si="48"/>
        <v>6</v>
      </c>
      <c r="W327" s="5">
        <f t="shared" si="49"/>
        <v>0</v>
      </c>
      <c r="X327" s="2" t="s">
        <v>6</v>
      </c>
      <c r="Y327" s="2" t="s">
        <v>2</v>
      </c>
      <c r="AA327" t="s">
        <v>1627</v>
      </c>
      <c r="AC327">
        <f t="shared" si="50"/>
        <v>2025</v>
      </c>
      <c r="AD327">
        <f t="shared" si="51"/>
        <v>2025</v>
      </c>
      <c r="AE327">
        <f t="shared" si="52"/>
        <v>2025</v>
      </c>
      <c r="AF327">
        <f t="shared" si="53"/>
        <v>8</v>
      </c>
    </row>
    <row r="328" spans="1:32" x14ac:dyDescent="0.25">
      <c r="A328" s="59">
        <v>45827.125</v>
      </c>
      <c r="B328" s="2">
        <v>1314</v>
      </c>
      <c r="C328" s="19" t="s">
        <v>0</v>
      </c>
      <c r="D328" s="19" t="s">
        <v>111</v>
      </c>
      <c r="E328" s="19" t="s">
        <v>1103</v>
      </c>
      <c r="F328" s="19" t="s">
        <v>1099</v>
      </c>
      <c r="G328" s="19" t="s">
        <v>607</v>
      </c>
      <c r="H328" s="19" t="s">
        <v>1100</v>
      </c>
      <c r="I328" s="19" t="s">
        <v>1104</v>
      </c>
      <c r="J328" s="2" t="s">
        <v>1105</v>
      </c>
      <c r="K328" s="20">
        <v>45903.125</v>
      </c>
      <c r="L328" s="20">
        <v>45898.125</v>
      </c>
      <c r="M328" s="22">
        <v>1951</v>
      </c>
      <c r="N328" s="21">
        <v>2243075</v>
      </c>
      <c r="O328" s="2" t="s">
        <v>76</v>
      </c>
      <c r="P328" s="2" t="s">
        <v>4</v>
      </c>
      <c r="Q328" s="2" t="s">
        <v>5</v>
      </c>
      <c r="R328" s="21">
        <f t="shared" si="45"/>
        <v>2243075</v>
      </c>
      <c r="S328" s="21">
        <v>2243075</v>
      </c>
      <c r="T328" s="5">
        <f t="shared" si="46"/>
        <v>187500</v>
      </c>
      <c r="U328">
        <f t="shared" si="47"/>
        <v>9</v>
      </c>
      <c r="V328">
        <f t="shared" si="48"/>
        <v>6</v>
      </c>
      <c r="W328" s="5">
        <f t="shared" si="49"/>
        <v>0</v>
      </c>
      <c r="X328" s="2" t="s">
        <v>6</v>
      </c>
      <c r="Y328" s="2" t="s">
        <v>2</v>
      </c>
      <c r="AA328" t="s">
        <v>1628</v>
      </c>
      <c r="AC328">
        <f t="shared" si="50"/>
        <v>2025</v>
      </c>
      <c r="AD328">
        <f t="shared" si="51"/>
        <v>2025</v>
      </c>
      <c r="AE328">
        <f t="shared" si="52"/>
        <v>2025</v>
      </c>
      <c r="AF328">
        <f t="shared" si="53"/>
        <v>8</v>
      </c>
    </row>
    <row r="329" spans="1:32" x14ac:dyDescent="0.25">
      <c r="A329" s="59">
        <v>45827.125</v>
      </c>
      <c r="B329" s="2">
        <v>1315</v>
      </c>
      <c r="C329" s="19" t="s">
        <v>0</v>
      </c>
      <c r="D329" s="19" t="s">
        <v>111</v>
      </c>
      <c r="E329" s="19" t="s">
        <v>1106</v>
      </c>
      <c r="F329" s="19" t="s">
        <v>1099</v>
      </c>
      <c r="G329" s="19" t="s">
        <v>607</v>
      </c>
      <c r="H329" s="19" t="s">
        <v>1100</v>
      </c>
      <c r="I329" s="19" t="s">
        <v>1107</v>
      </c>
      <c r="J329" s="2" t="s">
        <v>1108</v>
      </c>
      <c r="K329" s="20">
        <v>45903.125</v>
      </c>
      <c r="L329" s="20">
        <v>45898.125</v>
      </c>
      <c r="M329" s="22">
        <v>1577</v>
      </c>
      <c r="N329" s="21">
        <v>1813550</v>
      </c>
      <c r="O329" s="2" t="s">
        <v>76</v>
      </c>
      <c r="P329" s="2" t="s">
        <v>4</v>
      </c>
      <c r="Q329" s="2" t="s">
        <v>5</v>
      </c>
      <c r="R329" s="21">
        <f t="shared" si="45"/>
        <v>1813550</v>
      </c>
      <c r="S329" s="21">
        <v>1813550</v>
      </c>
      <c r="T329" s="5">
        <f t="shared" si="46"/>
        <v>187500</v>
      </c>
      <c r="U329">
        <f t="shared" si="47"/>
        <v>9</v>
      </c>
      <c r="V329">
        <f t="shared" si="48"/>
        <v>6</v>
      </c>
      <c r="W329" s="5">
        <f t="shared" si="49"/>
        <v>0</v>
      </c>
      <c r="X329" s="2" t="s">
        <v>6</v>
      </c>
      <c r="Y329" s="2" t="s">
        <v>2</v>
      </c>
      <c r="AA329" t="s">
        <v>1603</v>
      </c>
      <c r="AC329">
        <f t="shared" si="50"/>
        <v>2025</v>
      </c>
      <c r="AD329">
        <f t="shared" si="51"/>
        <v>2025</v>
      </c>
      <c r="AE329">
        <f t="shared" si="52"/>
        <v>2025</v>
      </c>
      <c r="AF329">
        <f t="shared" si="53"/>
        <v>8</v>
      </c>
    </row>
    <row r="330" spans="1:32" x14ac:dyDescent="0.25">
      <c r="A330" s="59">
        <v>45831.125</v>
      </c>
      <c r="B330" s="2">
        <v>1316</v>
      </c>
      <c r="C330" s="19" t="s">
        <v>367</v>
      </c>
      <c r="D330" s="19" t="s">
        <v>2</v>
      </c>
      <c r="E330" s="19" t="s">
        <v>2</v>
      </c>
      <c r="F330" s="19" t="s">
        <v>1109</v>
      </c>
      <c r="G330" s="19" t="s">
        <v>1110</v>
      </c>
      <c r="H330" s="19" t="s">
        <v>1111</v>
      </c>
      <c r="I330" s="19" t="s">
        <v>1112</v>
      </c>
      <c r="J330" s="2" t="s">
        <v>2</v>
      </c>
      <c r="K330" s="20">
        <v>45845.125</v>
      </c>
      <c r="L330" s="20">
        <v>45832.125</v>
      </c>
      <c r="M330" s="22">
        <v>150</v>
      </c>
      <c r="N330" s="21">
        <v>177000</v>
      </c>
      <c r="O330" s="2" t="s">
        <v>76</v>
      </c>
      <c r="P330" s="2" t="s">
        <v>4</v>
      </c>
      <c r="Q330" s="2" t="s">
        <v>5</v>
      </c>
      <c r="R330" s="21">
        <f t="shared" si="45"/>
        <v>177000</v>
      </c>
      <c r="S330" s="21">
        <v>177000</v>
      </c>
      <c r="T330" s="5">
        <f t="shared" si="46"/>
        <v>187500</v>
      </c>
      <c r="U330">
        <f t="shared" si="47"/>
        <v>7</v>
      </c>
      <c r="V330">
        <f t="shared" si="48"/>
        <v>6</v>
      </c>
      <c r="W330" s="5">
        <f t="shared" si="49"/>
        <v>0</v>
      </c>
      <c r="X330" s="2" t="s">
        <v>6</v>
      </c>
      <c r="Y330" s="2" t="s">
        <v>2</v>
      </c>
      <c r="Z330">
        <v>872</v>
      </c>
      <c r="AC330">
        <f t="shared" si="50"/>
        <v>2025</v>
      </c>
      <c r="AD330">
        <f t="shared" si="51"/>
        <v>2025</v>
      </c>
      <c r="AE330">
        <f t="shared" si="52"/>
        <v>2025</v>
      </c>
      <c r="AF330">
        <f t="shared" si="53"/>
        <v>6</v>
      </c>
    </row>
    <row r="331" spans="1:32" x14ac:dyDescent="0.25">
      <c r="A331" s="59">
        <v>45832.125</v>
      </c>
      <c r="B331" s="2">
        <v>1317</v>
      </c>
      <c r="C331" s="19" t="s">
        <v>799</v>
      </c>
      <c r="D331" s="19" t="s">
        <v>2</v>
      </c>
      <c r="E331" s="19" t="s">
        <v>2</v>
      </c>
      <c r="F331" s="19" t="s">
        <v>272</v>
      </c>
      <c r="G331" s="19" t="s">
        <v>351</v>
      </c>
      <c r="H331" s="19" t="s">
        <v>1076</v>
      </c>
      <c r="I331" s="19" t="s">
        <v>1113</v>
      </c>
      <c r="J331" s="2" t="s">
        <v>2</v>
      </c>
      <c r="K331" s="20">
        <v>45832.125</v>
      </c>
      <c r="L331" s="20">
        <v>45832.125</v>
      </c>
      <c r="M331" s="22">
        <v>202</v>
      </c>
      <c r="N331" s="21">
        <v>240000</v>
      </c>
      <c r="O331" s="2" t="s">
        <v>76</v>
      </c>
      <c r="P331" s="2" t="s">
        <v>4</v>
      </c>
      <c r="Q331" s="2" t="s">
        <v>5</v>
      </c>
      <c r="R331" s="21">
        <f t="shared" si="45"/>
        <v>240000</v>
      </c>
      <c r="S331" s="21">
        <v>240000</v>
      </c>
      <c r="T331" s="5">
        <f t="shared" si="46"/>
        <v>187500</v>
      </c>
      <c r="U331">
        <f t="shared" si="47"/>
        <v>6</v>
      </c>
      <c r="V331">
        <f t="shared" si="48"/>
        <v>6</v>
      </c>
      <c r="W331" s="5">
        <f t="shared" si="49"/>
        <v>0</v>
      </c>
      <c r="X331" s="2" t="s">
        <v>6</v>
      </c>
      <c r="Y331" s="2" t="s">
        <v>2</v>
      </c>
      <c r="Z331">
        <v>869</v>
      </c>
      <c r="AA331" t="s">
        <v>1629</v>
      </c>
      <c r="AC331">
        <f t="shared" si="50"/>
        <v>2025</v>
      </c>
      <c r="AD331">
        <f t="shared" si="51"/>
        <v>2025</v>
      </c>
      <c r="AE331">
        <f t="shared" si="52"/>
        <v>2025</v>
      </c>
      <c r="AF331">
        <f t="shared" si="53"/>
        <v>6</v>
      </c>
    </row>
    <row r="332" spans="1:32" x14ac:dyDescent="0.25">
      <c r="A332" s="59">
        <v>45832.125</v>
      </c>
      <c r="B332" s="2">
        <v>1318</v>
      </c>
      <c r="C332" s="19" t="s">
        <v>799</v>
      </c>
      <c r="D332" s="19" t="s">
        <v>2</v>
      </c>
      <c r="E332" s="19" t="s">
        <v>2</v>
      </c>
      <c r="F332" s="19" t="s">
        <v>272</v>
      </c>
      <c r="G332" s="19" t="s">
        <v>351</v>
      </c>
      <c r="H332" s="19" t="s">
        <v>1076</v>
      </c>
      <c r="I332" s="19" t="s">
        <v>1114</v>
      </c>
      <c r="J332" s="2" t="s">
        <v>2</v>
      </c>
      <c r="K332" s="20">
        <v>45832.125</v>
      </c>
      <c r="L332" s="20">
        <v>45832.125</v>
      </c>
      <c r="M332" s="22">
        <v>202</v>
      </c>
      <c r="N332" s="21">
        <v>240000</v>
      </c>
      <c r="O332" s="2" t="s">
        <v>76</v>
      </c>
      <c r="P332" s="2" t="s">
        <v>4</v>
      </c>
      <c r="Q332" s="2" t="s">
        <v>5</v>
      </c>
      <c r="R332" s="21">
        <f t="shared" si="45"/>
        <v>240000</v>
      </c>
      <c r="S332" s="21">
        <v>240000</v>
      </c>
      <c r="T332" s="5">
        <f t="shared" si="46"/>
        <v>187500</v>
      </c>
      <c r="U332">
        <f t="shared" si="47"/>
        <v>6</v>
      </c>
      <c r="V332">
        <f t="shared" si="48"/>
        <v>6</v>
      </c>
      <c r="W332" s="5">
        <f t="shared" si="49"/>
        <v>0</v>
      </c>
      <c r="X332" s="2" t="s">
        <v>6</v>
      </c>
      <c r="Y332" s="2" t="s">
        <v>2</v>
      </c>
      <c r="Z332">
        <v>869</v>
      </c>
      <c r="AA332" t="s">
        <v>1629</v>
      </c>
      <c r="AC332">
        <f t="shared" si="50"/>
        <v>2025</v>
      </c>
      <c r="AD332">
        <f t="shared" si="51"/>
        <v>2025</v>
      </c>
      <c r="AE332">
        <f t="shared" si="52"/>
        <v>2025</v>
      </c>
      <c r="AF332">
        <f t="shared" si="53"/>
        <v>6</v>
      </c>
    </row>
    <row r="333" spans="1:32" x14ac:dyDescent="0.25">
      <c r="A333" s="59">
        <v>45833.125</v>
      </c>
      <c r="B333" s="2">
        <v>1319</v>
      </c>
      <c r="C333" s="19" t="s">
        <v>98</v>
      </c>
      <c r="D333" s="19" t="s">
        <v>2</v>
      </c>
      <c r="E333" s="19" t="s">
        <v>2</v>
      </c>
      <c r="F333" s="19" t="s">
        <v>1115</v>
      </c>
      <c r="G333" s="19" t="s">
        <v>1116</v>
      </c>
      <c r="H333" s="19" t="s">
        <v>1117</v>
      </c>
      <c r="I333" s="19" t="s">
        <v>1118</v>
      </c>
      <c r="J333" s="2" t="s">
        <v>2</v>
      </c>
      <c r="K333" s="20">
        <v>45843.125</v>
      </c>
      <c r="L333" s="20">
        <v>45843.125</v>
      </c>
      <c r="M333" s="22">
        <v>150</v>
      </c>
      <c r="N333" s="21">
        <v>180000</v>
      </c>
      <c r="O333" s="2" t="s">
        <v>76</v>
      </c>
      <c r="P333" s="2" t="s">
        <v>145</v>
      </c>
      <c r="Q333" s="2" t="s">
        <v>146</v>
      </c>
      <c r="R333" s="21">
        <f t="shared" si="45"/>
        <v>0</v>
      </c>
      <c r="S333" s="21">
        <v>0</v>
      </c>
      <c r="T333" s="5">
        <f t="shared" si="46"/>
        <v>187500</v>
      </c>
      <c r="U333">
        <f t="shared" si="47"/>
        <v>7</v>
      </c>
      <c r="V333">
        <f t="shared" si="48"/>
        <v>6</v>
      </c>
      <c r="W333" s="5">
        <f t="shared" si="49"/>
        <v>0</v>
      </c>
      <c r="X333" s="2" t="s">
        <v>6</v>
      </c>
      <c r="Y333" s="2" t="s">
        <v>2</v>
      </c>
      <c r="AC333">
        <f t="shared" si="50"/>
        <v>2025</v>
      </c>
      <c r="AD333">
        <f t="shared" si="51"/>
        <v>2025</v>
      </c>
      <c r="AE333">
        <f t="shared" si="52"/>
        <v>2025</v>
      </c>
      <c r="AF333">
        <f t="shared" si="53"/>
        <v>7</v>
      </c>
    </row>
    <row r="334" spans="1:32" x14ac:dyDescent="0.25">
      <c r="A334" s="59">
        <v>45833.125</v>
      </c>
      <c r="B334" s="2">
        <v>1320</v>
      </c>
      <c r="C334" s="19" t="s">
        <v>98</v>
      </c>
      <c r="D334" s="19" t="s">
        <v>2</v>
      </c>
      <c r="E334" s="19" t="s">
        <v>2</v>
      </c>
      <c r="F334" s="19" t="s">
        <v>1119</v>
      </c>
      <c r="G334" s="19" t="s">
        <v>1042</v>
      </c>
      <c r="H334" s="19" t="s">
        <v>1120</v>
      </c>
      <c r="I334" s="19" t="s">
        <v>1121</v>
      </c>
      <c r="J334" s="2" t="s">
        <v>2</v>
      </c>
      <c r="K334" s="20">
        <v>45946.125</v>
      </c>
      <c r="L334" s="20">
        <v>45845.125</v>
      </c>
      <c r="M334" s="22">
        <v>762</v>
      </c>
      <c r="N334" s="21">
        <v>1078230</v>
      </c>
      <c r="O334" s="2" t="s">
        <v>76</v>
      </c>
      <c r="P334" s="2" t="s">
        <v>4</v>
      </c>
      <c r="Q334" s="2" t="s">
        <v>5</v>
      </c>
      <c r="R334" s="21">
        <f t="shared" si="45"/>
        <v>1078230</v>
      </c>
      <c r="S334" s="21">
        <v>1078230</v>
      </c>
      <c r="T334" s="5">
        <f t="shared" si="46"/>
        <v>187500</v>
      </c>
      <c r="U334">
        <f t="shared" si="47"/>
        <v>10</v>
      </c>
      <c r="V334">
        <f t="shared" si="48"/>
        <v>6</v>
      </c>
      <c r="W334" s="5">
        <f t="shared" si="49"/>
        <v>0</v>
      </c>
      <c r="X334" s="2" t="s">
        <v>6</v>
      </c>
      <c r="Y334" s="2" t="s">
        <v>2</v>
      </c>
      <c r="Z334">
        <v>904</v>
      </c>
      <c r="AA334" t="s">
        <v>1630</v>
      </c>
      <c r="AC334">
        <f t="shared" si="50"/>
        <v>2025</v>
      </c>
      <c r="AD334">
        <f t="shared" si="51"/>
        <v>2025</v>
      </c>
      <c r="AE334">
        <f t="shared" si="52"/>
        <v>2025</v>
      </c>
      <c r="AF334">
        <f t="shared" si="53"/>
        <v>7</v>
      </c>
    </row>
    <row r="335" spans="1:32" x14ac:dyDescent="0.25">
      <c r="A335" s="59">
        <v>45833.125</v>
      </c>
      <c r="B335" s="2">
        <v>1321</v>
      </c>
      <c r="C335" s="19" t="s">
        <v>1089</v>
      </c>
      <c r="D335" s="19" t="s">
        <v>2</v>
      </c>
      <c r="E335" s="19" t="s">
        <v>2</v>
      </c>
      <c r="F335" s="19" t="s">
        <v>1122</v>
      </c>
      <c r="G335" s="19" t="s">
        <v>1123</v>
      </c>
      <c r="H335" s="19" t="s">
        <v>1124</v>
      </c>
      <c r="I335" s="19" t="s">
        <v>1125</v>
      </c>
      <c r="J335" s="2" t="s">
        <v>2</v>
      </c>
      <c r="K335" s="20">
        <v>45843.125</v>
      </c>
      <c r="L335" s="20">
        <v>45843.125</v>
      </c>
      <c r="M335" s="22">
        <v>600</v>
      </c>
      <c r="N335" s="21">
        <v>717000</v>
      </c>
      <c r="O335" s="2" t="s">
        <v>76</v>
      </c>
      <c r="P335" s="2" t="s">
        <v>145</v>
      </c>
      <c r="Q335" s="2" t="s">
        <v>146</v>
      </c>
      <c r="R335" s="21">
        <f t="shared" si="45"/>
        <v>0</v>
      </c>
      <c r="S335" s="21">
        <v>0</v>
      </c>
      <c r="T335" s="5">
        <f t="shared" si="46"/>
        <v>187500</v>
      </c>
      <c r="U335">
        <f t="shared" si="47"/>
        <v>7</v>
      </c>
      <c r="V335">
        <f t="shared" si="48"/>
        <v>6</v>
      </c>
      <c r="W335" s="5">
        <f t="shared" si="49"/>
        <v>0</v>
      </c>
      <c r="X335" s="2" t="s">
        <v>6</v>
      </c>
      <c r="Y335" s="2" t="s">
        <v>2</v>
      </c>
      <c r="AC335">
        <f t="shared" si="50"/>
        <v>2025</v>
      </c>
      <c r="AD335">
        <f t="shared" si="51"/>
        <v>2025</v>
      </c>
      <c r="AE335">
        <f t="shared" si="52"/>
        <v>2025</v>
      </c>
      <c r="AF335">
        <f t="shared" si="53"/>
        <v>7</v>
      </c>
    </row>
    <row r="336" spans="1:32" x14ac:dyDescent="0.25">
      <c r="A336" s="59">
        <v>45833.125</v>
      </c>
      <c r="B336" s="2">
        <v>1322</v>
      </c>
      <c r="C336" s="19" t="s">
        <v>1089</v>
      </c>
      <c r="D336" s="19" t="s">
        <v>2</v>
      </c>
      <c r="E336" s="19" t="s">
        <v>2</v>
      </c>
      <c r="F336" s="19" t="s">
        <v>1126</v>
      </c>
      <c r="G336" s="19" t="s">
        <v>1127</v>
      </c>
      <c r="H336" s="19" t="s">
        <v>1128</v>
      </c>
      <c r="I336" s="19" t="s">
        <v>1129</v>
      </c>
      <c r="J336" s="2" t="s">
        <v>2</v>
      </c>
      <c r="K336" s="20">
        <v>45843.125</v>
      </c>
      <c r="L336" s="20">
        <v>45843.125</v>
      </c>
      <c r="M336" s="22">
        <v>400</v>
      </c>
      <c r="N336" s="21">
        <v>478000</v>
      </c>
      <c r="O336" s="2" t="s">
        <v>76</v>
      </c>
      <c r="P336" s="2" t="s">
        <v>145</v>
      </c>
      <c r="Q336" s="2" t="s">
        <v>146</v>
      </c>
      <c r="R336" s="21">
        <f t="shared" si="45"/>
        <v>0</v>
      </c>
      <c r="S336" s="21">
        <v>0</v>
      </c>
      <c r="T336" s="5">
        <f t="shared" si="46"/>
        <v>187500</v>
      </c>
      <c r="U336">
        <f t="shared" si="47"/>
        <v>7</v>
      </c>
      <c r="V336">
        <f t="shared" si="48"/>
        <v>6</v>
      </c>
      <c r="W336" s="5">
        <f t="shared" si="49"/>
        <v>0</v>
      </c>
      <c r="X336" s="2" t="s">
        <v>6</v>
      </c>
      <c r="Y336" s="2" t="s">
        <v>2</v>
      </c>
      <c r="AC336">
        <f t="shared" si="50"/>
        <v>2025</v>
      </c>
      <c r="AD336">
        <f t="shared" si="51"/>
        <v>2025</v>
      </c>
      <c r="AE336">
        <f t="shared" si="52"/>
        <v>2025</v>
      </c>
      <c r="AF336">
        <f t="shared" si="53"/>
        <v>7</v>
      </c>
    </row>
    <row r="337" spans="1:32" x14ac:dyDescent="0.25">
      <c r="A337" s="59">
        <v>45840.125</v>
      </c>
      <c r="B337" s="2">
        <v>1323</v>
      </c>
      <c r="C337" s="19" t="s">
        <v>564</v>
      </c>
      <c r="D337" s="19" t="s">
        <v>2</v>
      </c>
      <c r="E337" s="19" t="s">
        <v>2</v>
      </c>
      <c r="F337" s="19" t="s">
        <v>86</v>
      </c>
      <c r="G337" s="19" t="s">
        <v>94</v>
      </c>
      <c r="H337" s="19" t="s">
        <v>321</v>
      </c>
      <c r="I337" s="19" t="s">
        <v>1130</v>
      </c>
      <c r="J337" s="2" t="s">
        <v>2</v>
      </c>
      <c r="K337" s="20">
        <v>45840.125</v>
      </c>
      <c r="L337" s="20">
        <v>45843.125</v>
      </c>
      <c r="M337" s="22">
        <v>170</v>
      </c>
      <c r="N337" s="21">
        <v>213000</v>
      </c>
      <c r="O337" s="2" t="s">
        <v>76</v>
      </c>
      <c r="P337" s="2" t="s">
        <v>4</v>
      </c>
      <c r="Q337" s="2" t="s">
        <v>5</v>
      </c>
      <c r="R337" s="21">
        <f t="shared" si="45"/>
        <v>213000</v>
      </c>
      <c r="S337" s="21">
        <v>213000</v>
      </c>
      <c r="T337" s="5">
        <f t="shared" si="46"/>
        <v>187500</v>
      </c>
      <c r="U337">
        <f t="shared" si="47"/>
        <v>7</v>
      </c>
      <c r="V337">
        <f t="shared" si="48"/>
        <v>7</v>
      </c>
      <c r="W337" s="5">
        <f t="shared" si="49"/>
        <v>0</v>
      </c>
      <c r="X337" s="2" t="s">
        <v>6</v>
      </c>
      <c r="Y337" s="2" t="s">
        <v>2</v>
      </c>
      <c r="Z337">
        <v>870</v>
      </c>
      <c r="AC337">
        <f t="shared" si="50"/>
        <v>2025</v>
      </c>
      <c r="AD337">
        <f t="shared" si="51"/>
        <v>2025</v>
      </c>
      <c r="AE337">
        <f t="shared" si="52"/>
        <v>2025</v>
      </c>
      <c r="AF337">
        <f t="shared" si="53"/>
        <v>7</v>
      </c>
    </row>
    <row r="338" spans="1:32" x14ac:dyDescent="0.25">
      <c r="A338" s="59">
        <v>45842.125</v>
      </c>
      <c r="B338" s="2">
        <v>1324</v>
      </c>
      <c r="C338" s="19" t="s">
        <v>135</v>
      </c>
      <c r="D338" s="19" t="s">
        <v>2</v>
      </c>
      <c r="E338" s="19" t="s">
        <v>2</v>
      </c>
      <c r="F338" s="19" t="s">
        <v>602</v>
      </c>
      <c r="G338" s="19" t="s">
        <v>91</v>
      </c>
      <c r="H338" s="19" t="s">
        <v>627</v>
      </c>
      <c r="I338" s="19" t="s">
        <v>1131</v>
      </c>
      <c r="J338" s="2" t="s">
        <v>2</v>
      </c>
      <c r="K338" s="20">
        <v>45842.125</v>
      </c>
      <c r="L338" s="20">
        <v>45842.125</v>
      </c>
      <c r="M338" s="22">
        <v>143</v>
      </c>
      <c r="N338" s="21">
        <v>180000</v>
      </c>
      <c r="O338" s="2" t="s">
        <v>76</v>
      </c>
      <c r="P338" s="2" t="s">
        <v>4</v>
      </c>
      <c r="Q338" s="2" t="s">
        <v>5</v>
      </c>
      <c r="R338" s="21">
        <f t="shared" si="45"/>
        <v>180000</v>
      </c>
      <c r="S338" s="21">
        <v>180000</v>
      </c>
      <c r="T338" s="5">
        <f t="shared" si="46"/>
        <v>187500</v>
      </c>
      <c r="U338">
        <f t="shared" si="47"/>
        <v>7</v>
      </c>
      <c r="V338">
        <f t="shared" si="48"/>
        <v>7</v>
      </c>
      <c r="W338" s="5">
        <f t="shared" si="49"/>
        <v>0</v>
      </c>
      <c r="X338" s="2" t="s">
        <v>6</v>
      </c>
      <c r="Y338" s="2" t="s">
        <v>2</v>
      </c>
      <c r="Z338">
        <v>871</v>
      </c>
      <c r="AC338">
        <f t="shared" si="50"/>
        <v>2025</v>
      </c>
      <c r="AD338">
        <f t="shared" si="51"/>
        <v>2025</v>
      </c>
      <c r="AE338">
        <f t="shared" si="52"/>
        <v>2025</v>
      </c>
      <c r="AF338">
        <f t="shared" si="53"/>
        <v>7</v>
      </c>
    </row>
    <row r="339" spans="1:32" x14ac:dyDescent="0.25">
      <c r="A339" s="59">
        <v>45842.125</v>
      </c>
      <c r="B339" s="2">
        <v>1325</v>
      </c>
      <c r="C339" s="19" t="s">
        <v>1132</v>
      </c>
      <c r="D339" s="19" t="s">
        <v>2</v>
      </c>
      <c r="E339" s="19" t="s">
        <v>2</v>
      </c>
      <c r="F339" s="19" t="s">
        <v>1133</v>
      </c>
      <c r="G339" s="19" t="s">
        <v>909</v>
      </c>
      <c r="H339" s="19" t="s">
        <v>1134</v>
      </c>
      <c r="I339" s="19" t="s">
        <v>1135</v>
      </c>
      <c r="J339" s="2" t="s">
        <v>2</v>
      </c>
      <c r="K339" s="20">
        <v>45858.125</v>
      </c>
      <c r="L339" s="20">
        <v>45843.125</v>
      </c>
      <c r="M339" s="22">
        <v>100</v>
      </c>
      <c r="N339" s="21">
        <v>126000</v>
      </c>
      <c r="O339" s="2" t="s">
        <v>3</v>
      </c>
      <c r="P339" s="2" t="s">
        <v>4</v>
      </c>
      <c r="Q339" s="2" t="s">
        <v>5</v>
      </c>
      <c r="R339" s="21">
        <f t="shared" si="45"/>
        <v>126000</v>
      </c>
      <c r="S339" s="21">
        <v>126000</v>
      </c>
      <c r="T339" s="5">
        <f t="shared" si="46"/>
        <v>187500</v>
      </c>
      <c r="U339">
        <f t="shared" si="47"/>
        <v>7</v>
      </c>
      <c r="V339">
        <f t="shared" si="48"/>
        <v>7</v>
      </c>
      <c r="W339" s="5">
        <f t="shared" si="49"/>
        <v>0</v>
      </c>
      <c r="X339" s="2" t="s">
        <v>6</v>
      </c>
      <c r="Y339" s="2" t="s">
        <v>2</v>
      </c>
      <c r="Z339">
        <v>873</v>
      </c>
      <c r="AC339">
        <f t="shared" si="50"/>
        <v>2025</v>
      </c>
      <c r="AD339">
        <f t="shared" si="51"/>
        <v>2025</v>
      </c>
      <c r="AE339">
        <f t="shared" si="52"/>
        <v>2025</v>
      </c>
      <c r="AF339">
        <f t="shared" si="53"/>
        <v>7</v>
      </c>
    </row>
    <row r="340" spans="1:32" x14ac:dyDescent="0.25">
      <c r="A340" s="59">
        <v>45846.125</v>
      </c>
      <c r="B340" s="2">
        <v>1326</v>
      </c>
      <c r="C340" s="19" t="s">
        <v>799</v>
      </c>
      <c r="D340" s="19" t="s">
        <v>2</v>
      </c>
      <c r="E340" s="19" t="s">
        <v>2</v>
      </c>
      <c r="F340" s="19" t="s">
        <v>272</v>
      </c>
      <c r="G340" s="19" t="s">
        <v>351</v>
      </c>
      <c r="H340" s="19" t="s">
        <v>1076</v>
      </c>
      <c r="I340" s="19" t="s">
        <v>1136</v>
      </c>
      <c r="J340" s="2" t="s">
        <v>2</v>
      </c>
      <c r="K340" s="20">
        <v>45846.125</v>
      </c>
      <c r="L340" s="20">
        <v>45846.125</v>
      </c>
      <c r="M340" s="22">
        <v>188</v>
      </c>
      <c r="N340" s="21">
        <v>240000</v>
      </c>
      <c r="O340" s="2" t="s">
        <v>76</v>
      </c>
      <c r="P340" s="2" t="s">
        <v>4</v>
      </c>
      <c r="Q340" s="2" t="s">
        <v>5</v>
      </c>
      <c r="R340" s="21">
        <f t="shared" si="45"/>
        <v>240000</v>
      </c>
      <c r="S340" s="21">
        <v>240000</v>
      </c>
      <c r="T340" s="5">
        <f t="shared" si="46"/>
        <v>187500</v>
      </c>
      <c r="U340">
        <f t="shared" si="47"/>
        <v>7</v>
      </c>
      <c r="V340">
        <f t="shared" si="48"/>
        <v>7</v>
      </c>
      <c r="W340" s="5">
        <f t="shared" si="49"/>
        <v>0</v>
      </c>
      <c r="X340" s="2" t="s">
        <v>6</v>
      </c>
      <c r="Y340" s="2" t="s">
        <v>2</v>
      </c>
      <c r="Z340">
        <v>874</v>
      </c>
      <c r="AA340" t="s">
        <v>1631</v>
      </c>
      <c r="AC340">
        <f t="shared" si="50"/>
        <v>2025</v>
      </c>
      <c r="AD340">
        <f t="shared" si="51"/>
        <v>2025</v>
      </c>
      <c r="AE340">
        <f t="shared" si="52"/>
        <v>2025</v>
      </c>
      <c r="AF340">
        <f t="shared" si="53"/>
        <v>7</v>
      </c>
    </row>
    <row r="341" spans="1:32" x14ac:dyDescent="0.25">
      <c r="A341" s="59">
        <v>45846.125</v>
      </c>
      <c r="B341" s="2">
        <v>1327</v>
      </c>
      <c r="C341" s="19" t="s">
        <v>799</v>
      </c>
      <c r="D341" s="19" t="s">
        <v>2</v>
      </c>
      <c r="E341" s="19" t="s">
        <v>2</v>
      </c>
      <c r="F341" s="19" t="s">
        <v>272</v>
      </c>
      <c r="G341" s="19" t="s">
        <v>351</v>
      </c>
      <c r="H341" s="19" t="s">
        <v>1076</v>
      </c>
      <c r="I341" s="19" t="s">
        <v>1137</v>
      </c>
      <c r="J341" s="2" t="s">
        <v>2</v>
      </c>
      <c r="K341" s="20">
        <v>45846.125</v>
      </c>
      <c r="L341" s="20">
        <v>45846.125</v>
      </c>
      <c r="M341" s="22">
        <v>188</v>
      </c>
      <c r="N341" s="21">
        <v>240000</v>
      </c>
      <c r="O341" s="2" t="s">
        <v>76</v>
      </c>
      <c r="P341" s="2" t="s">
        <v>4</v>
      </c>
      <c r="Q341" s="2" t="s">
        <v>5</v>
      </c>
      <c r="R341" s="21">
        <f t="shared" si="45"/>
        <v>240000</v>
      </c>
      <c r="S341" s="21">
        <v>240000</v>
      </c>
      <c r="T341" s="5">
        <f t="shared" si="46"/>
        <v>187500</v>
      </c>
      <c r="U341">
        <f t="shared" si="47"/>
        <v>7</v>
      </c>
      <c r="V341">
        <f t="shared" si="48"/>
        <v>7</v>
      </c>
      <c r="W341" s="5">
        <f t="shared" si="49"/>
        <v>0</v>
      </c>
      <c r="X341" s="2" t="s">
        <v>6</v>
      </c>
      <c r="Y341" s="2" t="s">
        <v>2</v>
      </c>
      <c r="Z341">
        <v>874</v>
      </c>
      <c r="AA341" t="s">
        <v>1631</v>
      </c>
      <c r="AC341">
        <f t="shared" si="50"/>
        <v>2025</v>
      </c>
      <c r="AD341">
        <f t="shared" si="51"/>
        <v>2025</v>
      </c>
      <c r="AE341">
        <f t="shared" si="52"/>
        <v>2025</v>
      </c>
      <c r="AF341">
        <f t="shared" si="53"/>
        <v>7</v>
      </c>
    </row>
    <row r="342" spans="1:32" x14ac:dyDescent="0.25">
      <c r="A342" s="59">
        <v>45846.125</v>
      </c>
      <c r="B342" s="2">
        <v>1328</v>
      </c>
      <c r="C342" s="19" t="s">
        <v>1138</v>
      </c>
      <c r="D342" s="19" t="s">
        <v>2</v>
      </c>
      <c r="E342" s="19" t="s">
        <v>2</v>
      </c>
      <c r="F342" s="19" t="s">
        <v>1139</v>
      </c>
      <c r="G342" s="19" t="s">
        <v>1140</v>
      </c>
      <c r="H342" s="19" t="s">
        <v>1141</v>
      </c>
      <c r="I342" s="19" t="s">
        <v>1142</v>
      </c>
      <c r="J342" s="2" t="s">
        <v>2</v>
      </c>
      <c r="K342" s="20">
        <v>45856.125</v>
      </c>
      <c r="L342" s="20">
        <v>45856.125</v>
      </c>
      <c r="M342" s="22">
        <v>244</v>
      </c>
      <c r="N342" s="21">
        <v>312000</v>
      </c>
      <c r="O342" s="2" t="s">
        <v>76</v>
      </c>
      <c r="P342" s="2" t="s">
        <v>4</v>
      </c>
      <c r="Q342" s="2" t="s">
        <v>5</v>
      </c>
      <c r="R342" s="21">
        <f t="shared" si="45"/>
        <v>312000</v>
      </c>
      <c r="S342" s="21">
        <v>312000</v>
      </c>
      <c r="T342" s="5">
        <f t="shared" si="46"/>
        <v>187500</v>
      </c>
      <c r="U342">
        <f t="shared" si="47"/>
        <v>7</v>
      </c>
      <c r="V342">
        <f t="shared" si="48"/>
        <v>7</v>
      </c>
      <c r="W342" s="5">
        <f t="shared" si="49"/>
        <v>0</v>
      </c>
      <c r="X342" s="2" t="s">
        <v>6</v>
      </c>
      <c r="Y342" s="2" t="s">
        <v>2</v>
      </c>
      <c r="Z342">
        <v>876</v>
      </c>
      <c r="AC342">
        <f t="shared" si="50"/>
        <v>2025</v>
      </c>
      <c r="AD342">
        <f t="shared" si="51"/>
        <v>2025</v>
      </c>
      <c r="AE342">
        <f t="shared" si="52"/>
        <v>2025</v>
      </c>
      <c r="AF342">
        <f t="shared" si="53"/>
        <v>7</v>
      </c>
    </row>
    <row r="343" spans="1:32" x14ac:dyDescent="0.25">
      <c r="A343" s="59">
        <v>45848.125</v>
      </c>
      <c r="B343" s="2">
        <v>1329</v>
      </c>
      <c r="C343" s="19" t="s">
        <v>1</v>
      </c>
      <c r="D343" s="19" t="s">
        <v>2</v>
      </c>
      <c r="E343" s="19" t="s">
        <v>2</v>
      </c>
      <c r="F343" s="19" t="s">
        <v>1143</v>
      </c>
      <c r="G343" s="19" t="s">
        <v>137</v>
      </c>
      <c r="H343" s="19" t="s">
        <v>982</v>
      </c>
      <c r="I343" s="19" t="s">
        <v>1144</v>
      </c>
      <c r="J343" s="2" t="s">
        <v>2</v>
      </c>
      <c r="K343" s="20">
        <v>45848.125</v>
      </c>
      <c r="L343" s="20">
        <v>45856.125</v>
      </c>
      <c r="M343" s="22">
        <v>140</v>
      </c>
      <c r="N343" s="21">
        <v>178500</v>
      </c>
      <c r="O343" s="2" t="s">
        <v>76</v>
      </c>
      <c r="P343" s="2" t="s">
        <v>4</v>
      </c>
      <c r="Q343" s="2" t="s">
        <v>5</v>
      </c>
      <c r="R343" s="21">
        <f t="shared" si="45"/>
        <v>178500</v>
      </c>
      <c r="S343" s="21">
        <v>178500</v>
      </c>
      <c r="T343" s="5">
        <f t="shared" si="46"/>
        <v>187500</v>
      </c>
      <c r="U343">
        <f t="shared" si="47"/>
        <v>7</v>
      </c>
      <c r="V343">
        <f t="shared" si="48"/>
        <v>7</v>
      </c>
      <c r="W343" s="5">
        <f t="shared" si="49"/>
        <v>0</v>
      </c>
      <c r="X343" s="2" t="s">
        <v>6</v>
      </c>
      <c r="Y343" s="2" t="s">
        <v>2</v>
      </c>
      <c r="Z343">
        <v>877</v>
      </c>
      <c r="AA343" t="s">
        <v>1632</v>
      </c>
      <c r="AC343">
        <f t="shared" si="50"/>
        <v>2025</v>
      </c>
      <c r="AD343">
        <f t="shared" si="51"/>
        <v>2025</v>
      </c>
      <c r="AE343">
        <f t="shared" si="52"/>
        <v>2025</v>
      </c>
      <c r="AF343">
        <f t="shared" si="53"/>
        <v>7</v>
      </c>
    </row>
    <row r="344" spans="1:32" x14ac:dyDescent="0.25">
      <c r="A344" s="59">
        <v>45854.125</v>
      </c>
      <c r="B344" s="2">
        <v>1330</v>
      </c>
      <c r="C344" s="19" t="s">
        <v>753</v>
      </c>
      <c r="D344" s="19" t="s">
        <v>2</v>
      </c>
      <c r="E344" s="19" t="s">
        <v>2</v>
      </c>
      <c r="F344" s="19" t="s">
        <v>1145</v>
      </c>
      <c r="G344" s="19" t="s">
        <v>1146</v>
      </c>
      <c r="H344" s="19" t="s">
        <v>1147</v>
      </c>
      <c r="I344" s="19" t="s">
        <v>579</v>
      </c>
      <c r="J344" s="2" t="s">
        <v>2</v>
      </c>
      <c r="K344" s="20">
        <v>45862.125</v>
      </c>
      <c r="L344" s="20">
        <v>45856.125</v>
      </c>
      <c r="M344" s="22">
        <v>117</v>
      </c>
      <c r="N344" s="21">
        <v>150000</v>
      </c>
      <c r="O344" s="2" t="s">
        <v>76</v>
      </c>
      <c r="P344" s="2" t="s">
        <v>4</v>
      </c>
      <c r="Q344" s="2" t="s">
        <v>5</v>
      </c>
      <c r="R344" s="21">
        <f t="shared" si="45"/>
        <v>150000</v>
      </c>
      <c r="S344" s="21">
        <v>150000</v>
      </c>
      <c r="T344" s="5">
        <f t="shared" si="46"/>
        <v>187500</v>
      </c>
      <c r="U344">
        <f t="shared" si="47"/>
        <v>7</v>
      </c>
      <c r="V344">
        <f t="shared" si="48"/>
        <v>7</v>
      </c>
      <c r="W344" s="5">
        <f t="shared" si="49"/>
        <v>0</v>
      </c>
      <c r="X344" s="2" t="s">
        <v>6</v>
      </c>
      <c r="Y344" s="2" t="s">
        <v>2</v>
      </c>
      <c r="AC344">
        <f t="shared" si="50"/>
        <v>2025</v>
      </c>
      <c r="AD344">
        <f t="shared" si="51"/>
        <v>2025</v>
      </c>
      <c r="AE344">
        <f t="shared" si="52"/>
        <v>2025</v>
      </c>
      <c r="AF344">
        <f t="shared" si="53"/>
        <v>7</v>
      </c>
    </row>
    <row r="345" spans="1:32" x14ac:dyDescent="0.25">
      <c r="A345" s="59">
        <v>45855.125</v>
      </c>
      <c r="B345" s="2">
        <v>1331</v>
      </c>
      <c r="C345" s="19" t="s">
        <v>1000</v>
      </c>
      <c r="D345" s="19" t="s">
        <v>2</v>
      </c>
      <c r="E345" s="19" t="s">
        <v>2</v>
      </c>
      <c r="F345" s="19" t="s">
        <v>1148</v>
      </c>
      <c r="G345" s="19" t="s">
        <v>163</v>
      </c>
      <c r="H345" s="19" t="s">
        <v>1149</v>
      </c>
      <c r="I345" s="19" t="s">
        <v>1150</v>
      </c>
      <c r="J345" s="2" t="s">
        <v>2</v>
      </c>
      <c r="K345" s="20">
        <v>45855.125</v>
      </c>
      <c r="L345" s="20">
        <v>45886.125</v>
      </c>
      <c r="M345" s="22">
        <v>0</v>
      </c>
      <c r="N345" s="21">
        <v>0</v>
      </c>
      <c r="O345" s="2" t="s">
        <v>76</v>
      </c>
      <c r="P345" s="2" t="s">
        <v>306</v>
      </c>
      <c r="Q345" s="2" t="s">
        <v>5</v>
      </c>
      <c r="R345" s="21">
        <f t="shared" si="45"/>
        <v>0</v>
      </c>
      <c r="S345" s="21">
        <v>0</v>
      </c>
      <c r="T345" s="5">
        <f t="shared" si="46"/>
        <v>187500</v>
      </c>
      <c r="U345">
        <f t="shared" si="47"/>
        <v>7</v>
      </c>
      <c r="V345">
        <f t="shared" si="48"/>
        <v>7</v>
      </c>
      <c r="W345" s="5">
        <f t="shared" si="49"/>
        <v>0</v>
      </c>
      <c r="X345" s="2" t="s">
        <v>6</v>
      </c>
      <c r="Y345" s="2" t="s">
        <v>2</v>
      </c>
      <c r="AC345">
        <f t="shared" si="50"/>
        <v>2025</v>
      </c>
      <c r="AD345">
        <f t="shared" si="51"/>
        <v>2025</v>
      </c>
      <c r="AE345">
        <f t="shared" si="52"/>
        <v>2025</v>
      </c>
      <c r="AF345">
        <f t="shared" si="53"/>
        <v>8</v>
      </c>
    </row>
    <row r="346" spans="1:32" x14ac:dyDescent="0.25">
      <c r="A346" s="59">
        <v>45856.125</v>
      </c>
      <c r="B346" s="2">
        <v>1332</v>
      </c>
      <c r="C346" s="19" t="s">
        <v>1151</v>
      </c>
      <c r="D346" s="19" t="s">
        <v>2</v>
      </c>
      <c r="E346" s="19" t="s">
        <v>2</v>
      </c>
      <c r="F346" s="19" t="s">
        <v>1152</v>
      </c>
      <c r="G346" s="19" t="s">
        <v>163</v>
      </c>
      <c r="H346" s="19" t="s">
        <v>1153</v>
      </c>
      <c r="I346" s="19" t="s">
        <v>1154</v>
      </c>
      <c r="J346" s="2" t="s">
        <v>2</v>
      </c>
      <c r="K346" s="20">
        <v>45863.125</v>
      </c>
      <c r="L346" s="20">
        <v>45863.125</v>
      </c>
      <c r="M346" s="22">
        <v>80</v>
      </c>
      <c r="N346" s="21">
        <v>97500</v>
      </c>
      <c r="O346" s="2" t="s">
        <v>76</v>
      </c>
      <c r="P346" s="2" t="s">
        <v>4</v>
      </c>
      <c r="Q346" s="2" t="s">
        <v>5</v>
      </c>
      <c r="R346" s="21">
        <f t="shared" si="45"/>
        <v>97500</v>
      </c>
      <c r="S346" s="21">
        <v>97500</v>
      </c>
      <c r="T346" s="5">
        <f t="shared" si="46"/>
        <v>187500</v>
      </c>
      <c r="U346">
        <f t="shared" si="47"/>
        <v>7</v>
      </c>
      <c r="V346">
        <f t="shared" si="48"/>
        <v>7</v>
      </c>
      <c r="W346" s="5">
        <f t="shared" si="49"/>
        <v>0</v>
      </c>
      <c r="X346" s="2" t="s">
        <v>6</v>
      </c>
      <c r="Y346" s="2" t="s">
        <v>2</v>
      </c>
      <c r="AC346">
        <f t="shared" si="50"/>
        <v>2025</v>
      </c>
      <c r="AD346">
        <f t="shared" si="51"/>
        <v>2025</v>
      </c>
      <c r="AE346">
        <f t="shared" si="52"/>
        <v>2025</v>
      </c>
      <c r="AF346">
        <f t="shared" si="53"/>
        <v>7</v>
      </c>
    </row>
    <row r="347" spans="1:32" x14ac:dyDescent="0.25">
      <c r="A347" s="59">
        <v>45856.125</v>
      </c>
      <c r="B347" s="2">
        <v>1333</v>
      </c>
      <c r="C347" s="19" t="s">
        <v>1</v>
      </c>
      <c r="D347" s="19" t="s">
        <v>2</v>
      </c>
      <c r="E347" s="19" t="s">
        <v>2</v>
      </c>
      <c r="F347" s="19" t="s">
        <v>1155</v>
      </c>
      <c r="G347" s="19" t="s">
        <v>125</v>
      </c>
      <c r="H347" s="19" t="s">
        <v>126</v>
      </c>
      <c r="I347" s="19" t="s">
        <v>1156</v>
      </c>
      <c r="J347" s="2" t="s">
        <v>2</v>
      </c>
      <c r="K347" s="20">
        <v>45856.125</v>
      </c>
      <c r="L347" s="20">
        <v>45856.125</v>
      </c>
      <c r="M347" s="22">
        <v>0</v>
      </c>
      <c r="N347" s="21">
        <v>0</v>
      </c>
      <c r="O347" s="2" t="s">
        <v>3</v>
      </c>
      <c r="P347" s="2" t="s">
        <v>306</v>
      </c>
      <c r="Q347" s="2" t="s">
        <v>5</v>
      </c>
      <c r="R347" s="21">
        <f t="shared" si="45"/>
        <v>0</v>
      </c>
      <c r="S347" s="21">
        <v>0</v>
      </c>
      <c r="T347" s="5">
        <f t="shared" si="46"/>
        <v>187500</v>
      </c>
      <c r="U347">
        <f t="shared" si="47"/>
        <v>7</v>
      </c>
      <c r="V347">
        <f t="shared" si="48"/>
        <v>7</v>
      </c>
      <c r="W347" s="5">
        <f t="shared" si="49"/>
        <v>0</v>
      </c>
      <c r="X347" s="2" t="s">
        <v>6</v>
      </c>
      <c r="Y347" s="2" t="s">
        <v>2</v>
      </c>
      <c r="AC347">
        <f t="shared" si="50"/>
        <v>2025</v>
      </c>
      <c r="AD347">
        <f t="shared" si="51"/>
        <v>2025</v>
      </c>
      <c r="AE347">
        <f t="shared" si="52"/>
        <v>2025</v>
      </c>
      <c r="AF347">
        <f t="shared" si="53"/>
        <v>7</v>
      </c>
    </row>
    <row r="348" spans="1:32" x14ac:dyDescent="0.25">
      <c r="A348" s="59">
        <v>45860.125</v>
      </c>
      <c r="B348" s="2">
        <v>1334</v>
      </c>
      <c r="C348" s="19" t="s">
        <v>0</v>
      </c>
      <c r="D348" s="19" t="s">
        <v>111</v>
      </c>
      <c r="E348" s="19" t="s">
        <v>1157</v>
      </c>
      <c r="F348" s="19" t="s">
        <v>1158</v>
      </c>
      <c r="G348" s="19" t="s">
        <v>1159</v>
      </c>
      <c r="H348" s="19" t="s">
        <v>1160</v>
      </c>
      <c r="I348" s="19" t="s">
        <v>1161</v>
      </c>
      <c r="J348" s="2" t="s">
        <v>1162</v>
      </c>
      <c r="K348" s="20">
        <v>45882.125</v>
      </c>
      <c r="L348" s="20">
        <v>45863.125</v>
      </c>
      <c r="M348" s="22">
        <v>158</v>
      </c>
      <c r="N348" s="21">
        <v>212895</v>
      </c>
      <c r="O348" s="2" t="s">
        <v>76</v>
      </c>
      <c r="P348" s="2" t="s">
        <v>4</v>
      </c>
      <c r="Q348" s="2" t="s">
        <v>5</v>
      </c>
      <c r="R348" s="21">
        <f t="shared" si="45"/>
        <v>212895</v>
      </c>
      <c r="S348" s="21">
        <v>212895</v>
      </c>
      <c r="T348" s="5">
        <f t="shared" si="46"/>
        <v>187500</v>
      </c>
      <c r="U348">
        <f t="shared" si="47"/>
        <v>8</v>
      </c>
      <c r="V348">
        <f t="shared" si="48"/>
        <v>7</v>
      </c>
      <c r="W348" s="5">
        <f t="shared" si="49"/>
        <v>0</v>
      </c>
      <c r="X348" s="2" t="s">
        <v>6</v>
      </c>
      <c r="Y348" s="2" t="s">
        <v>2</v>
      </c>
      <c r="AA348" t="s">
        <v>1633</v>
      </c>
      <c r="AC348">
        <f t="shared" si="50"/>
        <v>2025</v>
      </c>
      <c r="AD348">
        <f t="shared" si="51"/>
        <v>2025</v>
      </c>
      <c r="AE348">
        <f t="shared" si="52"/>
        <v>2025</v>
      </c>
      <c r="AF348">
        <f t="shared" si="53"/>
        <v>7</v>
      </c>
    </row>
    <row r="349" spans="1:32" x14ac:dyDescent="0.25">
      <c r="A349" s="59">
        <v>45860.125</v>
      </c>
      <c r="B349" s="2">
        <v>1335</v>
      </c>
      <c r="C349" s="19" t="s">
        <v>0</v>
      </c>
      <c r="D349" s="19" t="s">
        <v>111</v>
      </c>
      <c r="E349" s="19" t="s">
        <v>1157</v>
      </c>
      <c r="F349" s="19" t="s">
        <v>1158</v>
      </c>
      <c r="G349" s="19" t="s">
        <v>1159</v>
      </c>
      <c r="H349" s="19" t="s">
        <v>1160</v>
      </c>
      <c r="I349" s="19" t="s">
        <v>1161</v>
      </c>
      <c r="J349" s="2" t="s">
        <v>1162</v>
      </c>
      <c r="K349" s="20">
        <v>45863.125</v>
      </c>
      <c r="L349" s="20">
        <v>45863.125</v>
      </c>
      <c r="M349" s="22">
        <v>158</v>
      </c>
      <c r="N349" s="21">
        <v>212895</v>
      </c>
      <c r="O349" s="2" t="s">
        <v>76</v>
      </c>
      <c r="P349" s="2" t="s">
        <v>4</v>
      </c>
      <c r="Q349" s="2" t="s">
        <v>5</v>
      </c>
      <c r="R349" s="21">
        <f t="shared" si="45"/>
        <v>212895</v>
      </c>
      <c r="S349" s="21">
        <v>212895</v>
      </c>
      <c r="T349" s="5">
        <f t="shared" si="46"/>
        <v>187500</v>
      </c>
      <c r="U349">
        <f t="shared" si="47"/>
        <v>7</v>
      </c>
      <c r="V349">
        <f t="shared" si="48"/>
        <v>7</v>
      </c>
      <c r="W349" s="5">
        <f t="shared" si="49"/>
        <v>0</v>
      </c>
      <c r="X349" s="2" t="s">
        <v>6</v>
      </c>
      <c r="Y349" s="2" t="s">
        <v>2</v>
      </c>
      <c r="AA349" t="s">
        <v>1633</v>
      </c>
      <c r="AC349">
        <f t="shared" si="50"/>
        <v>2025</v>
      </c>
      <c r="AD349">
        <f t="shared" si="51"/>
        <v>2025</v>
      </c>
      <c r="AE349">
        <f t="shared" si="52"/>
        <v>2025</v>
      </c>
      <c r="AF349">
        <f t="shared" si="53"/>
        <v>7</v>
      </c>
    </row>
    <row r="350" spans="1:32" x14ac:dyDescent="0.25">
      <c r="A350" s="59">
        <v>45860.125</v>
      </c>
      <c r="B350" s="2">
        <v>1336</v>
      </c>
      <c r="C350" s="19" t="s">
        <v>0</v>
      </c>
      <c r="D350" s="19" t="s">
        <v>111</v>
      </c>
      <c r="E350" s="19" t="s">
        <v>1157</v>
      </c>
      <c r="F350" s="19" t="s">
        <v>1158</v>
      </c>
      <c r="G350" s="19" t="s">
        <v>1159</v>
      </c>
      <c r="H350" s="19" t="s">
        <v>1160</v>
      </c>
      <c r="I350" s="19" t="s">
        <v>1163</v>
      </c>
      <c r="J350" s="2" t="s">
        <v>1164</v>
      </c>
      <c r="K350" s="20">
        <v>45863.125</v>
      </c>
      <c r="L350" s="20">
        <v>45863.125</v>
      </c>
      <c r="M350" s="22">
        <v>158</v>
      </c>
      <c r="N350" s="21">
        <v>212895</v>
      </c>
      <c r="O350" s="2" t="s">
        <v>76</v>
      </c>
      <c r="P350" s="2" t="s">
        <v>4</v>
      </c>
      <c r="Q350" s="2" t="s">
        <v>5</v>
      </c>
      <c r="R350" s="21">
        <f t="shared" si="45"/>
        <v>212895</v>
      </c>
      <c r="S350" s="21">
        <v>212895</v>
      </c>
      <c r="T350" s="5">
        <f t="shared" si="46"/>
        <v>187500</v>
      </c>
      <c r="U350">
        <f t="shared" si="47"/>
        <v>7</v>
      </c>
      <c r="V350">
        <f t="shared" si="48"/>
        <v>7</v>
      </c>
      <c r="W350" s="5">
        <f t="shared" si="49"/>
        <v>0</v>
      </c>
      <c r="X350" s="2" t="s">
        <v>6</v>
      </c>
      <c r="Y350" s="2" t="s">
        <v>2</v>
      </c>
      <c r="AA350" t="s">
        <v>1633</v>
      </c>
      <c r="AC350">
        <f t="shared" si="50"/>
        <v>2025</v>
      </c>
      <c r="AD350">
        <f t="shared" si="51"/>
        <v>2025</v>
      </c>
      <c r="AE350">
        <f t="shared" si="52"/>
        <v>2025</v>
      </c>
      <c r="AF350">
        <f t="shared" si="53"/>
        <v>7</v>
      </c>
    </row>
    <row r="351" spans="1:32" x14ac:dyDescent="0.25">
      <c r="A351" s="59">
        <v>45860.125</v>
      </c>
      <c r="B351" s="2">
        <v>1337</v>
      </c>
      <c r="C351" s="19" t="s">
        <v>0</v>
      </c>
      <c r="D351" s="19" t="s">
        <v>111</v>
      </c>
      <c r="E351" s="19" t="s">
        <v>1157</v>
      </c>
      <c r="F351" s="19" t="s">
        <v>1158</v>
      </c>
      <c r="G351" s="19" t="s">
        <v>1159</v>
      </c>
      <c r="H351" s="19" t="s">
        <v>1160</v>
      </c>
      <c r="I351" s="19" t="s">
        <v>1165</v>
      </c>
      <c r="J351" s="2" t="s">
        <v>1166</v>
      </c>
      <c r="K351" s="20">
        <v>45863.125</v>
      </c>
      <c r="L351" s="20">
        <v>45863.125</v>
      </c>
      <c r="M351" s="22">
        <v>149</v>
      </c>
      <c r="N351" s="21">
        <v>201690</v>
      </c>
      <c r="O351" s="2" t="s">
        <v>76</v>
      </c>
      <c r="P351" s="2" t="s">
        <v>4</v>
      </c>
      <c r="Q351" s="2" t="s">
        <v>5</v>
      </c>
      <c r="R351" s="21">
        <f t="shared" si="45"/>
        <v>201690</v>
      </c>
      <c r="S351" s="21">
        <v>201690</v>
      </c>
      <c r="T351" s="5">
        <f t="shared" si="46"/>
        <v>187500</v>
      </c>
      <c r="U351">
        <f t="shared" si="47"/>
        <v>7</v>
      </c>
      <c r="V351">
        <f t="shared" si="48"/>
        <v>7</v>
      </c>
      <c r="W351" s="5">
        <f t="shared" si="49"/>
        <v>0</v>
      </c>
      <c r="X351" s="2" t="s">
        <v>6</v>
      </c>
      <c r="Y351" s="2" t="s">
        <v>2</v>
      </c>
      <c r="AA351" t="s">
        <v>1633</v>
      </c>
      <c r="AC351">
        <f t="shared" si="50"/>
        <v>2025</v>
      </c>
      <c r="AD351">
        <f t="shared" si="51"/>
        <v>2025</v>
      </c>
      <c r="AE351">
        <f t="shared" si="52"/>
        <v>2025</v>
      </c>
      <c r="AF351">
        <f t="shared" si="53"/>
        <v>7</v>
      </c>
    </row>
    <row r="352" spans="1:32" x14ac:dyDescent="0.25">
      <c r="A352" s="59">
        <v>45860.125</v>
      </c>
      <c r="B352" s="2">
        <v>1338</v>
      </c>
      <c r="C352" s="19" t="s">
        <v>1167</v>
      </c>
      <c r="D352" s="19" t="s">
        <v>2</v>
      </c>
      <c r="E352" s="19" t="s">
        <v>2</v>
      </c>
      <c r="F352" s="19" t="s">
        <v>86</v>
      </c>
      <c r="G352" s="19" t="s">
        <v>280</v>
      </c>
      <c r="H352" s="19" t="s">
        <v>287</v>
      </c>
      <c r="I352" s="19" t="s">
        <v>1168</v>
      </c>
      <c r="J352" s="2" t="s">
        <v>2</v>
      </c>
      <c r="K352" s="20">
        <v>45860.125</v>
      </c>
      <c r="L352" s="20">
        <v>45861.125</v>
      </c>
      <c r="M352" s="22">
        <v>224</v>
      </c>
      <c r="N352" s="21">
        <v>280000</v>
      </c>
      <c r="O352" s="2" t="s">
        <v>76</v>
      </c>
      <c r="P352" s="2" t="s">
        <v>4</v>
      </c>
      <c r="Q352" s="2" t="s">
        <v>5</v>
      </c>
      <c r="R352" s="21">
        <f t="shared" si="45"/>
        <v>280000</v>
      </c>
      <c r="S352" s="21">
        <v>280000</v>
      </c>
      <c r="T352" s="5">
        <f t="shared" si="46"/>
        <v>187500</v>
      </c>
      <c r="U352">
        <f t="shared" si="47"/>
        <v>7</v>
      </c>
      <c r="V352">
        <f t="shared" si="48"/>
        <v>7</v>
      </c>
      <c r="W352" s="5">
        <f t="shared" si="49"/>
        <v>0</v>
      </c>
      <c r="X352" s="2" t="s">
        <v>6</v>
      </c>
      <c r="Y352" s="2" t="s">
        <v>2</v>
      </c>
      <c r="Z352">
        <v>875</v>
      </c>
      <c r="AC352">
        <f t="shared" si="50"/>
        <v>2025</v>
      </c>
      <c r="AD352">
        <f t="shared" si="51"/>
        <v>2025</v>
      </c>
      <c r="AE352">
        <f t="shared" si="52"/>
        <v>2025</v>
      </c>
      <c r="AF352">
        <f t="shared" si="53"/>
        <v>7</v>
      </c>
    </row>
    <row r="353" spans="1:32" x14ac:dyDescent="0.25">
      <c r="A353" s="59">
        <v>45867.125</v>
      </c>
      <c r="B353" s="2">
        <v>1339</v>
      </c>
      <c r="C353" s="19" t="s">
        <v>1</v>
      </c>
      <c r="D353" s="19" t="s">
        <v>2</v>
      </c>
      <c r="E353" s="19" t="s">
        <v>2</v>
      </c>
      <c r="F353" s="19" t="s">
        <v>136</v>
      </c>
      <c r="G353" s="19" t="s">
        <v>137</v>
      </c>
      <c r="H353" s="19" t="s">
        <v>138</v>
      </c>
      <c r="I353" s="19" t="s">
        <v>1169</v>
      </c>
      <c r="J353" s="2" t="s">
        <v>2</v>
      </c>
      <c r="K353" s="20">
        <v>45867.125</v>
      </c>
      <c r="L353" s="20">
        <v>45867.125</v>
      </c>
      <c r="M353" s="22">
        <v>136</v>
      </c>
      <c r="N353" s="21">
        <v>181500</v>
      </c>
      <c r="O353" s="2" t="s">
        <v>76</v>
      </c>
      <c r="P353" s="2" t="s">
        <v>4</v>
      </c>
      <c r="Q353" s="2" t="s">
        <v>5</v>
      </c>
      <c r="R353" s="21">
        <f t="shared" si="45"/>
        <v>181500</v>
      </c>
      <c r="S353" s="21">
        <v>181500</v>
      </c>
      <c r="T353" s="5">
        <f t="shared" si="46"/>
        <v>187500</v>
      </c>
      <c r="U353">
        <f t="shared" si="47"/>
        <v>7</v>
      </c>
      <c r="V353">
        <f t="shared" si="48"/>
        <v>7</v>
      </c>
      <c r="W353" s="5">
        <f t="shared" si="49"/>
        <v>0</v>
      </c>
      <c r="X353" s="2" t="s">
        <v>6</v>
      </c>
      <c r="Y353" s="2" t="s">
        <v>2</v>
      </c>
      <c r="Z353">
        <v>878</v>
      </c>
      <c r="AA353" t="s">
        <v>1634</v>
      </c>
      <c r="AC353">
        <f t="shared" si="50"/>
        <v>2025</v>
      </c>
      <c r="AD353">
        <f t="shared" si="51"/>
        <v>2025</v>
      </c>
      <c r="AE353">
        <f t="shared" si="52"/>
        <v>2025</v>
      </c>
      <c r="AF353">
        <f t="shared" si="53"/>
        <v>7</v>
      </c>
    </row>
    <row r="354" spans="1:32" x14ac:dyDescent="0.25">
      <c r="A354" s="59">
        <v>45867.125</v>
      </c>
      <c r="B354" s="2">
        <v>1340</v>
      </c>
      <c r="C354" s="19" t="s">
        <v>98</v>
      </c>
      <c r="D354" s="19" t="s">
        <v>2</v>
      </c>
      <c r="E354" s="19" t="s">
        <v>2</v>
      </c>
      <c r="F354" s="19" t="s">
        <v>1170</v>
      </c>
      <c r="G354" s="19" t="s">
        <v>1171</v>
      </c>
      <c r="H354" s="19" t="s">
        <v>1172</v>
      </c>
      <c r="I354" s="19" t="s">
        <v>1173</v>
      </c>
      <c r="J354" s="2" t="s">
        <v>2</v>
      </c>
      <c r="K354" s="20">
        <v>45890.125</v>
      </c>
      <c r="L354" s="20">
        <v>45890.125</v>
      </c>
      <c r="M354" s="22">
        <v>106</v>
      </c>
      <c r="N354" s="21">
        <v>206000</v>
      </c>
      <c r="O354" s="2" t="s">
        <v>76</v>
      </c>
      <c r="P354" s="2" t="s">
        <v>4</v>
      </c>
      <c r="Q354" s="2" t="s">
        <v>5</v>
      </c>
      <c r="R354" s="21">
        <f t="shared" si="45"/>
        <v>206000</v>
      </c>
      <c r="S354" s="21">
        <v>206000</v>
      </c>
      <c r="T354" s="5">
        <f t="shared" si="46"/>
        <v>187500</v>
      </c>
      <c r="U354">
        <f t="shared" si="47"/>
        <v>8</v>
      </c>
      <c r="V354">
        <f t="shared" si="48"/>
        <v>7</v>
      </c>
      <c r="W354" s="5">
        <f t="shared" si="49"/>
        <v>0</v>
      </c>
      <c r="X354" s="2" t="s">
        <v>6</v>
      </c>
      <c r="Y354" s="2" t="s">
        <v>2</v>
      </c>
      <c r="Z354">
        <v>887</v>
      </c>
      <c r="AA354" t="s">
        <v>1635</v>
      </c>
      <c r="AC354">
        <f t="shared" si="50"/>
        <v>2025</v>
      </c>
      <c r="AD354">
        <f t="shared" si="51"/>
        <v>2025</v>
      </c>
      <c r="AE354">
        <f t="shared" si="52"/>
        <v>2025</v>
      </c>
      <c r="AF354">
        <f t="shared" si="53"/>
        <v>8</v>
      </c>
    </row>
    <row r="355" spans="1:32" x14ac:dyDescent="0.25">
      <c r="A355" s="59">
        <v>45867.125</v>
      </c>
      <c r="B355" s="2">
        <v>1341</v>
      </c>
      <c r="C355" s="19" t="s">
        <v>648</v>
      </c>
      <c r="D355" s="19" t="s">
        <v>2</v>
      </c>
      <c r="E355" s="19" t="s">
        <v>2</v>
      </c>
      <c r="F355" s="19" t="s">
        <v>86</v>
      </c>
      <c r="G355" s="19" t="s">
        <v>94</v>
      </c>
      <c r="H355" s="19" t="s">
        <v>104</v>
      </c>
      <c r="I355" s="19" t="s">
        <v>1174</v>
      </c>
      <c r="J355" s="2" t="s">
        <v>2</v>
      </c>
      <c r="K355" s="20">
        <v>45867.125</v>
      </c>
      <c r="L355" s="20">
        <v>45867.125</v>
      </c>
      <c r="M355" s="22">
        <v>170</v>
      </c>
      <c r="N355" s="21">
        <v>220000</v>
      </c>
      <c r="O355" s="2" t="s">
        <v>76</v>
      </c>
      <c r="P355" s="2" t="s">
        <v>4</v>
      </c>
      <c r="Q355" s="2" t="s">
        <v>5</v>
      </c>
      <c r="R355" s="21">
        <f t="shared" si="45"/>
        <v>220000</v>
      </c>
      <c r="S355" s="21">
        <v>220000</v>
      </c>
      <c r="T355" s="5">
        <f t="shared" si="46"/>
        <v>187500</v>
      </c>
      <c r="U355">
        <f t="shared" si="47"/>
        <v>7</v>
      </c>
      <c r="V355">
        <f t="shared" si="48"/>
        <v>7</v>
      </c>
      <c r="W355" s="5">
        <f t="shared" si="49"/>
        <v>0</v>
      </c>
      <c r="X355" s="2" t="s">
        <v>6</v>
      </c>
      <c r="Y355" s="2" t="s">
        <v>2</v>
      </c>
      <c r="Z355">
        <v>879</v>
      </c>
      <c r="AA355" t="s">
        <v>1636</v>
      </c>
      <c r="AC355">
        <f t="shared" si="50"/>
        <v>2025</v>
      </c>
      <c r="AD355">
        <f t="shared" si="51"/>
        <v>2025</v>
      </c>
      <c r="AE355">
        <f t="shared" si="52"/>
        <v>2025</v>
      </c>
      <c r="AF355">
        <f t="shared" si="53"/>
        <v>7</v>
      </c>
    </row>
    <row r="356" spans="1:32" x14ac:dyDescent="0.25">
      <c r="A356" s="59">
        <v>45873.125</v>
      </c>
      <c r="B356" s="2">
        <v>1342</v>
      </c>
      <c r="C356" s="19" t="s">
        <v>1175</v>
      </c>
      <c r="D356" s="19" t="s">
        <v>2</v>
      </c>
      <c r="E356" s="19" t="s">
        <v>2</v>
      </c>
      <c r="F356" s="19" t="s">
        <v>1176</v>
      </c>
      <c r="G356" s="19" t="s">
        <v>1177</v>
      </c>
      <c r="H356" s="19" t="s">
        <v>1178</v>
      </c>
      <c r="I356" s="19" t="s">
        <v>1179</v>
      </c>
      <c r="J356" s="2" t="s">
        <v>2</v>
      </c>
      <c r="K356" s="20">
        <v>45881.125</v>
      </c>
      <c r="L356" s="20">
        <v>45874.125</v>
      </c>
      <c r="M356" s="22">
        <v>50</v>
      </c>
      <c r="N356" s="21">
        <v>93500</v>
      </c>
      <c r="O356" s="2" t="s">
        <v>76</v>
      </c>
      <c r="P356" s="2" t="s">
        <v>4</v>
      </c>
      <c r="Q356" s="2" t="s">
        <v>5</v>
      </c>
      <c r="R356" s="21">
        <f t="shared" si="45"/>
        <v>93500</v>
      </c>
      <c r="S356" s="21">
        <v>93500</v>
      </c>
      <c r="T356" s="5">
        <f t="shared" si="46"/>
        <v>187500</v>
      </c>
      <c r="U356">
        <f t="shared" si="47"/>
        <v>8</v>
      </c>
      <c r="V356">
        <f t="shared" si="48"/>
        <v>8</v>
      </c>
      <c r="W356" s="5">
        <f t="shared" si="49"/>
        <v>0</v>
      </c>
      <c r="X356" s="2" t="s">
        <v>6</v>
      </c>
      <c r="Y356" s="2" t="s">
        <v>2</v>
      </c>
      <c r="Z356">
        <v>883</v>
      </c>
      <c r="AA356" t="s">
        <v>1637</v>
      </c>
      <c r="AC356">
        <f t="shared" si="50"/>
        <v>2025</v>
      </c>
      <c r="AD356">
        <f t="shared" si="51"/>
        <v>2025</v>
      </c>
      <c r="AE356">
        <f t="shared" si="52"/>
        <v>2025</v>
      </c>
      <c r="AF356">
        <f t="shared" si="53"/>
        <v>8</v>
      </c>
    </row>
    <row r="357" spans="1:32" x14ac:dyDescent="0.25">
      <c r="A357" s="59">
        <v>45874.125</v>
      </c>
      <c r="B357" s="2">
        <v>1343</v>
      </c>
      <c r="C357" s="19" t="s">
        <v>1180</v>
      </c>
      <c r="D357" s="19" t="s">
        <v>2</v>
      </c>
      <c r="E357" s="19" t="s">
        <v>2</v>
      </c>
      <c r="F357" s="19" t="s">
        <v>1181</v>
      </c>
      <c r="G357" s="19" t="s">
        <v>1182</v>
      </c>
      <c r="H357" s="19" t="s">
        <v>1183</v>
      </c>
      <c r="I357" s="19" t="s">
        <v>1184</v>
      </c>
      <c r="J357" s="2" t="s">
        <v>2</v>
      </c>
      <c r="K357" s="20">
        <v>45874.125</v>
      </c>
      <c r="L357" s="20">
        <v>45874.125</v>
      </c>
      <c r="M357" s="22">
        <v>72</v>
      </c>
      <c r="N357" s="21">
        <v>100000</v>
      </c>
      <c r="O357" s="2" t="s">
        <v>76</v>
      </c>
      <c r="P357" s="2" t="s">
        <v>4</v>
      </c>
      <c r="Q357" s="2" t="s">
        <v>5</v>
      </c>
      <c r="R357" s="21">
        <f t="shared" si="45"/>
        <v>100000</v>
      </c>
      <c r="S357" s="21">
        <v>100000</v>
      </c>
      <c r="T357" s="5">
        <f t="shared" si="46"/>
        <v>187500</v>
      </c>
      <c r="U357">
        <f t="shared" si="47"/>
        <v>8</v>
      </c>
      <c r="V357">
        <f t="shared" si="48"/>
        <v>8</v>
      </c>
      <c r="W357" s="5">
        <f t="shared" si="49"/>
        <v>0</v>
      </c>
      <c r="X357" s="2" t="s">
        <v>6</v>
      </c>
      <c r="Y357" s="2" t="s">
        <v>2</v>
      </c>
      <c r="Z357">
        <v>880</v>
      </c>
      <c r="AC357">
        <f t="shared" si="50"/>
        <v>2025</v>
      </c>
      <c r="AD357">
        <f t="shared" si="51"/>
        <v>2025</v>
      </c>
      <c r="AE357">
        <f t="shared" si="52"/>
        <v>2025</v>
      </c>
      <c r="AF357">
        <f t="shared" si="53"/>
        <v>8</v>
      </c>
    </row>
    <row r="358" spans="1:32" x14ac:dyDescent="0.25">
      <c r="A358" s="59">
        <v>45877.125</v>
      </c>
      <c r="B358" s="2">
        <v>1344</v>
      </c>
      <c r="C358" s="19" t="s">
        <v>1185</v>
      </c>
      <c r="D358" s="19" t="s">
        <v>2</v>
      </c>
      <c r="E358" s="19" t="s">
        <v>2</v>
      </c>
      <c r="F358" s="19" t="s">
        <v>86</v>
      </c>
      <c r="G358" s="19" t="s">
        <v>94</v>
      </c>
      <c r="H358" s="19" t="s">
        <v>95</v>
      </c>
      <c r="I358" s="19" t="s">
        <v>1186</v>
      </c>
      <c r="J358" s="2" t="s">
        <v>2</v>
      </c>
      <c r="K358" s="20">
        <v>45877.125</v>
      </c>
      <c r="L358" s="20">
        <v>45880.125</v>
      </c>
      <c r="M358" s="22">
        <v>165</v>
      </c>
      <c r="N358" s="21">
        <v>220000</v>
      </c>
      <c r="O358" s="2" t="s">
        <v>76</v>
      </c>
      <c r="P358" s="2" t="s">
        <v>4</v>
      </c>
      <c r="Q358" s="2" t="s">
        <v>5</v>
      </c>
      <c r="R358" s="21">
        <f t="shared" si="45"/>
        <v>220000</v>
      </c>
      <c r="S358" s="21">
        <v>220000</v>
      </c>
      <c r="T358" s="5">
        <f t="shared" si="46"/>
        <v>187500</v>
      </c>
      <c r="U358">
        <f t="shared" si="47"/>
        <v>8</v>
      </c>
      <c r="V358">
        <f t="shared" si="48"/>
        <v>8</v>
      </c>
      <c r="W358" s="5">
        <f t="shared" si="49"/>
        <v>0</v>
      </c>
      <c r="X358" s="2" t="s">
        <v>6</v>
      </c>
      <c r="Y358" s="2" t="s">
        <v>2</v>
      </c>
      <c r="Z358">
        <v>882</v>
      </c>
      <c r="AA358" t="s">
        <v>1638</v>
      </c>
      <c r="AC358">
        <f t="shared" si="50"/>
        <v>2025</v>
      </c>
      <c r="AD358">
        <f t="shared" si="51"/>
        <v>2025</v>
      </c>
      <c r="AE358">
        <f t="shared" si="52"/>
        <v>2025</v>
      </c>
      <c r="AF358">
        <f t="shared" si="53"/>
        <v>8</v>
      </c>
    </row>
    <row r="359" spans="1:32" x14ac:dyDescent="0.25">
      <c r="A359" s="59">
        <v>45882.125</v>
      </c>
      <c r="B359" s="2">
        <v>1345</v>
      </c>
      <c r="C359" s="19" t="s">
        <v>1187</v>
      </c>
      <c r="D359" s="19" t="s">
        <v>2</v>
      </c>
      <c r="E359" s="19" t="s">
        <v>2</v>
      </c>
      <c r="F359" s="19" t="s">
        <v>298</v>
      </c>
      <c r="G359" s="19" t="s">
        <v>1061</v>
      </c>
      <c r="H359" s="19" t="s">
        <v>1067</v>
      </c>
      <c r="I359" s="19" t="s">
        <v>1188</v>
      </c>
      <c r="J359" s="2" t="s">
        <v>2</v>
      </c>
      <c r="K359" s="20">
        <v>45883.125</v>
      </c>
      <c r="L359" s="20">
        <v>45889.125</v>
      </c>
      <c r="M359" s="22">
        <v>210</v>
      </c>
      <c r="N359" s="21">
        <v>286000</v>
      </c>
      <c r="O359" s="2" t="s">
        <v>76</v>
      </c>
      <c r="P359" s="2" t="s">
        <v>4</v>
      </c>
      <c r="Q359" s="2" t="s">
        <v>5</v>
      </c>
      <c r="R359" s="21">
        <f t="shared" si="45"/>
        <v>286000</v>
      </c>
      <c r="S359" s="21">
        <v>286000</v>
      </c>
      <c r="T359" s="5">
        <f t="shared" si="46"/>
        <v>187500</v>
      </c>
      <c r="U359">
        <f t="shared" si="47"/>
        <v>8</v>
      </c>
      <c r="V359">
        <f t="shared" si="48"/>
        <v>8</v>
      </c>
      <c r="W359" s="5">
        <f t="shared" si="49"/>
        <v>0</v>
      </c>
      <c r="X359" s="2" t="s">
        <v>6</v>
      </c>
      <c r="Y359" s="2" t="s">
        <v>2</v>
      </c>
      <c r="Z359">
        <v>885</v>
      </c>
      <c r="AA359" t="s">
        <v>1639</v>
      </c>
      <c r="AC359">
        <f t="shared" si="50"/>
        <v>2025</v>
      </c>
      <c r="AD359">
        <f t="shared" si="51"/>
        <v>2025</v>
      </c>
      <c r="AE359">
        <f t="shared" si="52"/>
        <v>2025</v>
      </c>
      <c r="AF359">
        <f t="shared" si="53"/>
        <v>8</v>
      </c>
    </row>
    <row r="360" spans="1:32" x14ac:dyDescent="0.25">
      <c r="A360" s="59">
        <v>45888.125</v>
      </c>
      <c r="B360" s="2">
        <v>1346</v>
      </c>
      <c r="C360" s="19" t="s">
        <v>1189</v>
      </c>
      <c r="D360" s="19" t="s">
        <v>2</v>
      </c>
      <c r="E360" s="19" t="s">
        <v>2</v>
      </c>
      <c r="F360" s="19" t="s">
        <v>368</v>
      </c>
      <c r="G360" s="19" t="s">
        <v>585</v>
      </c>
      <c r="H360" s="19" t="s">
        <v>1190</v>
      </c>
      <c r="I360" s="19" t="s">
        <v>1191</v>
      </c>
      <c r="J360" s="2" t="s">
        <v>2</v>
      </c>
      <c r="K360" s="20">
        <v>45891.125</v>
      </c>
      <c r="L360" s="20">
        <v>45888.125</v>
      </c>
      <c r="M360" s="22">
        <v>120</v>
      </c>
      <c r="N360" s="21">
        <v>153000</v>
      </c>
      <c r="O360" s="2" t="s">
        <v>76</v>
      </c>
      <c r="P360" s="2" t="s">
        <v>4</v>
      </c>
      <c r="Q360" s="2" t="s">
        <v>5</v>
      </c>
      <c r="R360" s="21">
        <f t="shared" si="45"/>
        <v>153000</v>
      </c>
      <c r="S360" s="21">
        <v>153000</v>
      </c>
      <c r="T360" s="5">
        <f t="shared" si="46"/>
        <v>187500</v>
      </c>
      <c r="U360">
        <f t="shared" si="47"/>
        <v>8</v>
      </c>
      <c r="V360">
        <f t="shared" si="48"/>
        <v>8</v>
      </c>
      <c r="W360" s="5">
        <f t="shared" si="49"/>
        <v>0</v>
      </c>
      <c r="X360" s="2" t="s">
        <v>6</v>
      </c>
      <c r="Y360" s="2" t="s">
        <v>2</v>
      </c>
      <c r="Z360">
        <v>886</v>
      </c>
      <c r="AA360" t="s">
        <v>1640</v>
      </c>
      <c r="AC360">
        <f t="shared" si="50"/>
        <v>2025</v>
      </c>
      <c r="AD360">
        <f t="shared" si="51"/>
        <v>2025</v>
      </c>
      <c r="AE360">
        <f t="shared" si="52"/>
        <v>2025</v>
      </c>
      <c r="AF360">
        <f t="shared" si="53"/>
        <v>8</v>
      </c>
    </row>
    <row r="361" spans="1:32" x14ac:dyDescent="0.25">
      <c r="A361" s="59">
        <v>45888.125</v>
      </c>
      <c r="B361" s="2">
        <v>1347</v>
      </c>
      <c r="C361" s="19" t="s">
        <v>1</v>
      </c>
      <c r="D361" s="19" t="s">
        <v>2</v>
      </c>
      <c r="E361" s="19" t="s">
        <v>2</v>
      </c>
      <c r="F361" s="19" t="s">
        <v>136</v>
      </c>
      <c r="G361" s="19" t="s">
        <v>137</v>
      </c>
      <c r="H361" s="19" t="s">
        <v>138</v>
      </c>
      <c r="I361" s="19" t="s">
        <v>1192</v>
      </c>
      <c r="J361" s="2" t="s">
        <v>2</v>
      </c>
      <c r="K361" s="20">
        <v>45888.125</v>
      </c>
      <c r="L361" s="20">
        <v>45888.125</v>
      </c>
      <c r="M361" s="22">
        <v>136</v>
      </c>
      <c r="N361" s="21">
        <v>181500</v>
      </c>
      <c r="O361" s="2" t="s">
        <v>76</v>
      </c>
      <c r="P361" s="2" t="s">
        <v>4</v>
      </c>
      <c r="Q361" s="2" t="s">
        <v>5</v>
      </c>
      <c r="R361" s="21">
        <f t="shared" si="45"/>
        <v>181500</v>
      </c>
      <c r="S361" s="21">
        <v>181500</v>
      </c>
      <c r="T361" s="5">
        <f t="shared" si="46"/>
        <v>187500</v>
      </c>
      <c r="U361">
        <f t="shared" si="47"/>
        <v>8</v>
      </c>
      <c r="V361">
        <f t="shared" si="48"/>
        <v>8</v>
      </c>
      <c r="W361" s="5">
        <f t="shared" si="49"/>
        <v>0</v>
      </c>
      <c r="X361" s="2" t="s">
        <v>6</v>
      </c>
      <c r="Y361" s="2" t="s">
        <v>2</v>
      </c>
      <c r="Z361">
        <v>884</v>
      </c>
      <c r="AA361" t="s">
        <v>1641</v>
      </c>
      <c r="AC361">
        <f t="shared" si="50"/>
        <v>2025</v>
      </c>
      <c r="AD361">
        <f t="shared" si="51"/>
        <v>2025</v>
      </c>
      <c r="AE361">
        <f t="shared" si="52"/>
        <v>2025</v>
      </c>
      <c r="AF361">
        <f t="shared" si="53"/>
        <v>8</v>
      </c>
    </row>
    <row r="362" spans="1:32" x14ac:dyDescent="0.25">
      <c r="A362" s="59">
        <v>45888.125</v>
      </c>
      <c r="B362" s="2">
        <v>1348</v>
      </c>
      <c r="C362" s="19" t="s">
        <v>0</v>
      </c>
      <c r="D362" s="19" t="s">
        <v>111</v>
      </c>
      <c r="E362" s="19" t="s">
        <v>1193</v>
      </c>
      <c r="F362" s="19" t="s">
        <v>308</v>
      </c>
      <c r="G362" s="19" t="s">
        <v>309</v>
      </c>
      <c r="H362" s="19" t="s">
        <v>310</v>
      </c>
      <c r="I362" s="19" t="s">
        <v>1194</v>
      </c>
      <c r="J362" s="2" t="s">
        <v>1195</v>
      </c>
      <c r="K362" s="20">
        <v>45888.125</v>
      </c>
      <c r="L362" s="20">
        <v>45915.125</v>
      </c>
      <c r="M362" s="22">
        <v>805</v>
      </c>
      <c r="N362" s="21">
        <v>1187523</v>
      </c>
      <c r="O362" s="2" t="s">
        <v>76</v>
      </c>
      <c r="P362" s="2" t="s">
        <v>4</v>
      </c>
      <c r="Q362" s="2" t="s">
        <v>5</v>
      </c>
      <c r="R362" s="21">
        <f t="shared" si="45"/>
        <v>1187523</v>
      </c>
      <c r="S362" s="21">
        <v>1187523</v>
      </c>
      <c r="T362" s="5">
        <f t="shared" si="46"/>
        <v>187500</v>
      </c>
      <c r="U362">
        <f t="shared" si="47"/>
        <v>8</v>
      </c>
      <c r="V362">
        <f t="shared" si="48"/>
        <v>8</v>
      </c>
      <c r="W362" s="5">
        <f t="shared" si="49"/>
        <v>0</v>
      </c>
      <c r="X362" s="2" t="s">
        <v>6</v>
      </c>
      <c r="Y362" s="2" t="s">
        <v>2</v>
      </c>
      <c r="AA362" t="s">
        <v>1642</v>
      </c>
      <c r="AC362">
        <f t="shared" si="50"/>
        <v>2025</v>
      </c>
      <c r="AD362">
        <f t="shared" si="51"/>
        <v>2025</v>
      </c>
      <c r="AE362">
        <f t="shared" si="52"/>
        <v>2025</v>
      </c>
      <c r="AF362">
        <f t="shared" si="53"/>
        <v>9</v>
      </c>
    </row>
    <row r="363" spans="1:32" x14ac:dyDescent="0.25">
      <c r="A363" s="59">
        <v>45888.125</v>
      </c>
      <c r="B363" s="2">
        <v>1349</v>
      </c>
      <c r="C363" s="19" t="s">
        <v>0</v>
      </c>
      <c r="D363" s="19" t="s">
        <v>111</v>
      </c>
      <c r="E363" s="19" t="s">
        <v>1193</v>
      </c>
      <c r="F363" s="19" t="s">
        <v>308</v>
      </c>
      <c r="G363" s="19" t="s">
        <v>309</v>
      </c>
      <c r="H363" s="19" t="s">
        <v>310</v>
      </c>
      <c r="I363" s="19" t="s">
        <v>1196</v>
      </c>
      <c r="J363" s="2" t="s">
        <v>1197</v>
      </c>
      <c r="K363" s="20">
        <v>45888.125</v>
      </c>
      <c r="L363" s="20">
        <v>45915.125</v>
      </c>
      <c r="M363" s="22">
        <v>805</v>
      </c>
      <c r="N363" s="21">
        <v>1187523</v>
      </c>
      <c r="O363" s="2" t="s">
        <v>76</v>
      </c>
      <c r="P363" s="2" t="s">
        <v>4</v>
      </c>
      <c r="Q363" s="2" t="s">
        <v>5</v>
      </c>
      <c r="R363" s="21">
        <f t="shared" si="45"/>
        <v>1187523</v>
      </c>
      <c r="S363" s="21">
        <v>1187523</v>
      </c>
      <c r="T363" s="5">
        <f t="shared" si="46"/>
        <v>187500</v>
      </c>
      <c r="U363">
        <f t="shared" si="47"/>
        <v>8</v>
      </c>
      <c r="V363">
        <f t="shared" si="48"/>
        <v>8</v>
      </c>
      <c r="W363" s="5">
        <f t="shared" si="49"/>
        <v>0</v>
      </c>
      <c r="X363" s="2" t="s">
        <v>6</v>
      </c>
      <c r="Y363" s="2" t="s">
        <v>2</v>
      </c>
      <c r="AA363" t="s">
        <v>1643</v>
      </c>
      <c r="AC363">
        <f t="shared" si="50"/>
        <v>2025</v>
      </c>
      <c r="AD363">
        <f t="shared" si="51"/>
        <v>2025</v>
      </c>
      <c r="AE363">
        <f t="shared" si="52"/>
        <v>2025</v>
      </c>
      <c r="AF363">
        <f t="shared" si="53"/>
        <v>9</v>
      </c>
    </row>
    <row r="364" spans="1:32" x14ac:dyDescent="0.25">
      <c r="A364" s="59">
        <v>45888.125</v>
      </c>
      <c r="B364" s="2">
        <v>1350</v>
      </c>
      <c r="C364" s="19" t="s">
        <v>0</v>
      </c>
      <c r="D364" s="19" t="s">
        <v>111</v>
      </c>
      <c r="E364" s="19" t="s">
        <v>1193</v>
      </c>
      <c r="F364" s="19" t="s">
        <v>1198</v>
      </c>
      <c r="G364" s="19" t="s">
        <v>309</v>
      </c>
      <c r="H364" s="19" t="s">
        <v>1199</v>
      </c>
      <c r="I364" s="19" t="s">
        <v>1200</v>
      </c>
      <c r="J364" s="2" t="s">
        <v>1201</v>
      </c>
      <c r="K364" s="20">
        <v>45888.125</v>
      </c>
      <c r="L364" s="20">
        <v>45915.125</v>
      </c>
      <c r="M364" s="22">
        <v>764</v>
      </c>
      <c r="N364" s="21">
        <v>1126310</v>
      </c>
      <c r="O364" s="2" t="s">
        <v>76</v>
      </c>
      <c r="P364" s="2" t="s">
        <v>4</v>
      </c>
      <c r="Q364" s="2" t="s">
        <v>5</v>
      </c>
      <c r="R364" s="21">
        <f t="shared" si="45"/>
        <v>1126310</v>
      </c>
      <c r="S364" s="21">
        <v>1126310</v>
      </c>
      <c r="T364" s="5">
        <f t="shared" si="46"/>
        <v>187500</v>
      </c>
      <c r="U364">
        <f t="shared" si="47"/>
        <v>8</v>
      </c>
      <c r="V364">
        <f t="shared" si="48"/>
        <v>8</v>
      </c>
      <c r="W364" s="5">
        <f t="shared" si="49"/>
        <v>0</v>
      </c>
      <c r="X364" s="2" t="s">
        <v>6</v>
      </c>
      <c r="Y364" s="2" t="s">
        <v>2</v>
      </c>
      <c r="AA364" t="s">
        <v>1644</v>
      </c>
      <c r="AC364">
        <f t="shared" si="50"/>
        <v>2025</v>
      </c>
      <c r="AD364">
        <f t="shared" si="51"/>
        <v>2025</v>
      </c>
      <c r="AE364">
        <f t="shared" si="52"/>
        <v>2025</v>
      </c>
      <c r="AF364">
        <f t="shared" si="53"/>
        <v>9</v>
      </c>
    </row>
    <row r="365" spans="1:32" x14ac:dyDescent="0.25">
      <c r="A365" s="59">
        <v>45888.125</v>
      </c>
      <c r="B365" s="2">
        <v>1351</v>
      </c>
      <c r="C365" s="19" t="s">
        <v>0</v>
      </c>
      <c r="D365" s="19" t="s">
        <v>111</v>
      </c>
      <c r="E365" s="19" t="s">
        <v>1193</v>
      </c>
      <c r="F365" s="19" t="s">
        <v>312</v>
      </c>
      <c r="G365" s="19" t="s">
        <v>309</v>
      </c>
      <c r="H365" s="19" t="s">
        <v>313</v>
      </c>
      <c r="I365" s="19" t="s">
        <v>1202</v>
      </c>
      <c r="J365" s="2" t="s">
        <v>1203</v>
      </c>
      <c r="K365" s="20">
        <v>45888.125</v>
      </c>
      <c r="L365" s="20">
        <v>45915.125</v>
      </c>
      <c r="M365" s="22">
        <v>706</v>
      </c>
      <c r="N365" s="21">
        <v>1040613</v>
      </c>
      <c r="O365" s="2" t="s">
        <v>76</v>
      </c>
      <c r="P365" s="2" t="s">
        <v>4</v>
      </c>
      <c r="Q365" s="2" t="s">
        <v>5</v>
      </c>
      <c r="R365" s="21">
        <f t="shared" si="45"/>
        <v>1040613</v>
      </c>
      <c r="S365" s="21">
        <v>1040613</v>
      </c>
      <c r="T365" s="5">
        <f t="shared" si="46"/>
        <v>187500</v>
      </c>
      <c r="U365">
        <f t="shared" si="47"/>
        <v>8</v>
      </c>
      <c r="V365">
        <f t="shared" si="48"/>
        <v>8</v>
      </c>
      <c r="W365" s="5">
        <f t="shared" si="49"/>
        <v>0</v>
      </c>
      <c r="X365" s="2" t="s">
        <v>6</v>
      </c>
      <c r="Y365" s="2" t="s">
        <v>2</v>
      </c>
      <c r="AA365" t="s">
        <v>1498</v>
      </c>
      <c r="AC365">
        <f t="shared" si="50"/>
        <v>2025</v>
      </c>
      <c r="AD365">
        <f t="shared" si="51"/>
        <v>2025</v>
      </c>
      <c r="AE365">
        <f t="shared" si="52"/>
        <v>2025</v>
      </c>
      <c r="AF365">
        <f t="shared" si="53"/>
        <v>9</v>
      </c>
    </row>
    <row r="366" spans="1:32" x14ac:dyDescent="0.25">
      <c r="A366" s="59">
        <v>45888.125</v>
      </c>
      <c r="B366" s="2">
        <v>1352</v>
      </c>
      <c r="C366" s="19" t="s">
        <v>0</v>
      </c>
      <c r="D366" s="19" t="s">
        <v>111</v>
      </c>
      <c r="E366" s="19" t="s">
        <v>1193</v>
      </c>
      <c r="F366" s="19" t="s">
        <v>1204</v>
      </c>
      <c r="G366" s="19" t="s">
        <v>309</v>
      </c>
      <c r="H366" s="19" t="s">
        <v>1205</v>
      </c>
      <c r="I366" s="19" t="s">
        <v>1206</v>
      </c>
      <c r="J366" s="2" t="s">
        <v>1207</v>
      </c>
      <c r="K366" s="20">
        <v>45888.125</v>
      </c>
      <c r="L366" s="20">
        <v>45915.125</v>
      </c>
      <c r="M366" s="22">
        <v>320</v>
      </c>
      <c r="N366" s="21">
        <v>471336</v>
      </c>
      <c r="O366" s="2" t="s">
        <v>76</v>
      </c>
      <c r="P366" s="2" t="s">
        <v>4</v>
      </c>
      <c r="Q366" s="2" t="s">
        <v>5</v>
      </c>
      <c r="R366" s="21">
        <f t="shared" si="45"/>
        <v>471336</v>
      </c>
      <c r="S366" s="21">
        <v>471336</v>
      </c>
      <c r="T366" s="5">
        <f t="shared" si="46"/>
        <v>187500</v>
      </c>
      <c r="U366">
        <f t="shared" si="47"/>
        <v>8</v>
      </c>
      <c r="V366">
        <f t="shared" si="48"/>
        <v>8</v>
      </c>
      <c r="W366" s="5">
        <f t="shared" si="49"/>
        <v>0</v>
      </c>
      <c r="X366" s="2" t="s">
        <v>6</v>
      </c>
      <c r="Y366" s="2" t="s">
        <v>2</v>
      </c>
      <c r="AA366" t="s">
        <v>1645</v>
      </c>
      <c r="AC366">
        <f t="shared" si="50"/>
        <v>2025</v>
      </c>
      <c r="AD366">
        <f t="shared" si="51"/>
        <v>2025</v>
      </c>
      <c r="AE366">
        <f t="shared" si="52"/>
        <v>2025</v>
      </c>
      <c r="AF366">
        <f t="shared" si="53"/>
        <v>9</v>
      </c>
    </row>
    <row r="367" spans="1:32" x14ac:dyDescent="0.25">
      <c r="A367" s="59">
        <v>45888.125</v>
      </c>
      <c r="B367" s="2">
        <v>1353</v>
      </c>
      <c r="C367" s="19" t="s">
        <v>0</v>
      </c>
      <c r="D367" s="19" t="s">
        <v>111</v>
      </c>
      <c r="E367" s="19" t="s">
        <v>1193</v>
      </c>
      <c r="F367" s="19" t="s">
        <v>1204</v>
      </c>
      <c r="G367" s="19" t="s">
        <v>309</v>
      </c>
      <c r="H367" s="19" t="s">
        <v>1205</v>
      </c>
      <c r="I367" s="19" t="s">
        <v>1208</v>
      </c>
      <c r="J367" s="2" t="s">
        <v>1209</v>
      </c>
      <c r="K367" s="20">
        <v>45888.125</v>
      </c>
      <c r="L367" s="20">
        <v>45915.125</v>
      </c>
      <c r="M367" s="22">
        <v>320</v>
      </c>
      <c r="N367" s="21">
        <v>471336</v>
      </c>
      <c r="O367" s="2" t="s">
        <v>76</v>
      </c>
      <c r="P367" s="2" t="s">
        <v>4</v>
      </c>
      <c r="Q367" s="2" t="s">
        <v>5</v>
      </c>
      <c r="R367" s="21">
        <f t="shared" si="45"/>
        <v>471336</v>
      </c>
      <c r="S367" s="21">
        <v>471336</v>
      </c>
      <c r="T367" s="5">
        <f t="shared" si="46"/>
        <v>187500</v>
      </c>
      <c r="U367">
        <f t="shared" si="47"/>
        <v>8</v>
      </c>
      <c r="V367">
        <f t="shared" si="48"/>
        <v>8</v>
      </c>
      <c r="W367" s="5">
        <f t="shared" si="49"/>
        <v>0</v>
      </c>
      <c r="X367" s="2" t="s">
        <v>6</v>
      </c>
      <c r="Y367" s="2" t="s">
        <v>2</v>
      </c>
      <c r="AA367" t="s">
        <v>1645</v>
      </c>
      <c r="AC367">
        <f t="shared" si="50"/>
        <v>2025</v>
      </c>
      <c r="AD367">
        <f t="shared" si="51"/>
        <v>2025</v>
      </c>
      <c r="AE367">
        <f t="shared" si="52"/>
        <v>2025</v>
      </c>
      <c r="AF367">
        <f t="shared" si="53"/>
        <v>9</v>
      </c>
    </row>
    <row r="368" spans="1:32" x14ac:dyDescent="0.25">
      <c r="A368" s="59">
        <v>45896.125</v>
      </c>
      <c r="B368" s="2">
        <v>1354</v>
      </c>
      <c r="C368" s="19" t="s">
        <v>218</v>
      </c>
      <c r="D368" s="19" t="s">
        <v>2</v>
      </c>
      <c r="E368" s="19" t="s">
        <v>2</v>
      </c>
      <c r="F368" s="19" t="s">
        <v>660</v>
      </c>
      <c r="G368" s="19" t="s">
        <v>1210</v>
      </c>
      <c r="H368" s="19" t="s">
        <v>1211</v>
      </c>
      <c r="I368" s="19" t="s">
        <v>1212</v>
      </c>
      <c r="J368" s="2" t="s">
        <v>2</v>
      </c>
      <c r="K368" s="20">
        <v>45896.125</v>
      </c>
      <c r="L368" s="20">
        <v>45896.125</v>
      </c>
      <c r="M368" s="22">
        <v>220</v>
      </c>
      <c r="N368" s="21">
        <v>302500</v>
      </c>
      <c r="O368" s="2" t="s">
        <v>76</v>
      </c>
      <c r="P368" s="2" t="s">
        <v>4</v>
      </c>
      <c r="Q368" s="2" t="s">
        <v>5</v>
      </c>
      <c r="R368" s="21">
        <f t="shared" si="45"/>
        <v>302500</v>
      </c>
      <c r="S368" s="21">
        <v>302500</v>
      </c>
      <c r="T368" s="5">
        <f t="shared" si="46"/>
        <v>187500</v>
      </c>
      <c r="U368">
        <f t="shared" si="47"/>
        <v>8</v>
      </c>
      <c r="V368">
        <f t="shared" si="48"/>
        <v>8</v>
      </c>
      <c r="W368" s="5">
        <f t="shared" si="49"/>
        <v>0</v>
      </c>
      <c r="X368" s="2" t="s">
        <v>6</v>
      </c>
      <c r="Y368" s="2" t="s">
        <v>2</v>
      </c>
      <c r="Z368">
        <v>888</v>
      </c>
      <c r="AA368" t="s">
        <v>1646</v>
      </c>
      <c r="AC368">
        <f t="shared" si="50"/>
        <v>2025</v>
      </c>
      <c r="AD368">
        <f t="shared" si="51"/>
        <v>2025</v>
      </c>
      <c r="AE368">
        <f t="shared" si="52"/>
        <v>2025</v>
      </c>
      <c r="AF368">
        <f t="shared" si="53"/>
        <v>8</v>
      </c>
    </row>
    <row r="369" spans="1:32" x14ac:dyDescent="0.25">
      <c r="A369" s="59">
        <v>45897.125</v>
      </c>
      <c r="B369" s="2">
        <v>1355</v>
      </c>
      <c r="C369" s="19" t="s">
        <v>999</v>
      </c>
      <c r="D369" s="19" t="s">
        <v>2</v>
      </c>
      <c r="E369" s="19" t="s">
        <v>2</v>
      </c>
      <c r="F369" s="19" t="s">
        <v>1213</v>
      </c>
      <c r="G369" s="19" t="s">
        <v>1214</v>
      </c>
      <c r="H369" s="19" t="s">
        <v>1215</v>
      </c>
      <c r="I369" s="19" t="s">
        <v>1216</v>
      </c>
      <c r="J369" s="2" t="s">
        <v>2</v>
      </c>
      <c r="K369" s="20">
        <v>45903.125</v>
      </c>
      <c r="L369" s="20">
        <v>45898.125</v>
      </c>
      <c r="M369" s="22">
        <v>230</v>
      </c>
      <c r="N369" s="21">
        <v>280000</v>
      </c>
      <c r="O369" s="2" t="s">
        <v>76</v>
      </c>
      <c r="P369" s="2" t="s">
        <v>4</v>
      </c>
      <c r="Q369" s="2" t="s">
        <v>5</v>
      </c>
      <c r="R369" s="21">
        <f t="shared" si="45"/>
        <v>280000</v>
      </c>
      <c r="S369" s="21">
        <v>280000</v>
      </c>
      <c r="T369" s="5">
        <f t="shared" si="46"/>
        <v>187500</v>
      </c>
      <c r="U369">
        <f t="shared" si="47"/>
        <v>9</v>
      </c>
      <c r="V369">
        <f t="shared" si="48"/>
        <v>8</v>
      </c>
      <c r="W369" s="5">
        <f t="shared" si="49"/>
        <v>0</v>
      </c>
      <c r="X369" s="2" t="s">
        <v>6</v>
      </c>
      <c r="Y369" s="2" t="s">
        <v>2</v>
      </c>
      <c r="AA369" t="s">
        <v>1647</v>
      </c>
      <c r="AC369">
        <f t="shared" si="50"/>
        <v>2025</v>
      </c>
      <c r="AD369">
        <f t="shared" si="51"/>
        <v>2025</v>
      </c>
      <c r="AE369">
        <f t="shared" si="52"/>
        <v>2025</v>
      </c>
      <c r="AF369">
        <f t="shared" si="53"/>
        <v>8</v>
      </c>
    </row>
    <row r="370" spans="1:32" x14ac:dyDescent="0.25">
      <c r="A370" s="59">
        <v>45898.125</v>
      </c>
      <c r="B370" s="2">
        <v>1356</v>
      </c>
      <c r="C370" s="19" t="s">
        <v>1217</v>
      </c>
      <c r="D370" s="19" t="s">
        <v>2</v>
      </c>
      <c r="E370" s="19" t="s">
        <v>2</v>
      </c>
      <c r="F370" s="19" t="s">
        <v>1218</v>
      </c>
      <c r="G370" s="19" t="s">
        <v>1110</v>
      </c>
      <c r="H370" s="19" t="s">
        <v>1219</v>
      </c>
      <c r="I370" s="19" t="s">
        <v>1220</v>
      </c>
      <c r="J370" s="2" t="s">
        <v>2</v>
      </c>
      <c r="K370" s="20">
        <v>45911.125</v>
      </c>
      <c r="L370" s="20">
        <v>45911.125</v>
      </c>
      <c r="M370" s="22">
        <v>450</v>
      </c>
      <c r="N370" s="21">
        <v>472500</v>
      </c>
      <c r="O370" s="2" t="s">
        <v>76</v>
      </c>
      <c r="P370" s="2" t="s">
        <v>145</v>
      </c>
      <c r="Q370" s="2" t="s">
        <v>146</v>
      </c>
      <c r="R370" s="21">
        <f t="shared" si="45"/>
        <v>0</v>
      </c>
      <c r="S370" s="21">
        <v>0</v>
      </c>
      <c r="T370" s="5">
        <f t="shared" si="46"/>
        <v>187500</v>
      </c>
      <c r="U370">
        <f t="shared" si="47"/>
        <v>9</v>
      </c>
      <c r="V370">
        <f t="shared" si="48"/>
        <v>8</v>
      </c>
      <c r="W370" s="5">
        <f t="shared" si="49"/>
        <v>0</v>
      </c>
      <c r="X370" s="2" t="s">
        <v>6</v>
      </c>
      <c r="Y370" s="2" t="s">
        <v>2</v>
      </c>
      <c r="AC370">
        <f t="shared" si="50"/>
        <v>2025</v>
      </c>
      <c r="AD370">
        <f t="shared" si="51"/>
        <v>2025</v>
      </c>
      <c r="AE370">
        <f t="shared" si="52"/>
        <v>2025</v>
      </c>
      <c r="AF370">
        <f t="shared" si="53"/>
        <v>9</v>
      </c>
    </row>
    <row r="371" spans="1:32" x14ac:dyDescent="0.25">
      <c r="A371" s="59">
        <v>45901.125</v>
      </c>
      <c r="B371" s="2">
        <v>1357</v>
      </c>
      <c r="C371" s="19" t="s">
        <v>218</v>
      </c>
      <c r="D371" s="19" t="s">
        <v>2</v>
      </c>
      <c r="E371" s="19" t="s">
        <v>2</v>
      </c>
      <c r="F371" s="19" t="s">
        <v>1221</v>
      </c>
      <c r="G371" s="19" t="s">
        <v>1071</v>
      </c>
      <c r="H371" s="19" t="s">
        <v>1222</v>
      </c>
      <c r="I371" s="19" t="s">
        <v>1223</v>
      </c>
      <c r="J371" s="2" t="s">
        <v>2</v>
      </c>
      <c r="K371" s="20">
        <v>45901.125</v>
      </c>
      <c r="L371" s="20">
        <v>45902.125</v>
      </c>
      <c r="M371" s="22">
        <v>70</v>
      </c>
      <c r="N371" s="21">
        <v>100000</v>
      </c>
      <c r="O371" s="2" t="s">
        <v>76</v>
      </c>
      <c r="P371" s="2" t="s">
        <v>4</v>
      </c>
      <c r="Q371" s="2" t="s">
        <v>5</v>
      </c>
      <c r="R371" s="21">
        <f t="shared" si="45"/>
        <v>100000</v>
      </c>
      <c r="S371" s="21">
        <v>100000</v>
      </c>
      <c r="T371" s="5">
        <f t="shared" si="46"/>
        <v>187500</v>
      </c>
      <c r="U371">
        <f t="shared" si="47"/>
        <v>9</v>
      </c>
      <c r="V371">
        <f t="shared" si="48"/>
        <v>9</v>
      </c>
      <c r="W371" s="5">
        <f t="shared" si="49"/>
        <v>0</v>
      </c>
      <c r="X371" s="2" t="s">
        <v>6</v>
      </c>
      <c r="Y371" s="2" t="s">
        <v>2</v>
      </c>
      <c r="Z371">
        <v>889</v>
      </c>
      <c r="AA371" t="s">
        <v>1648</v>
      </c>
      <c r="AC371">
        <f t="shared" si="50"/>
        <v>2025</v>
      </c>
      <c r="AD371">
        <f t="shared" si="51"/>
        <v>2025</v>
      </c>
      <c r="AE371">
        <f t="shared" si="52"/>
        <v>2025</v>
      </c>
      <c r="AF371">
        <f t="shared" si="53"/>
        <v>9</v>
      </c>
    </row>
    <row r="372" spans="1:32" x14ac:dyDescent="0.25">
      <c r="A372" s="59">
        <v>45901.125</v>
      </c>
      <c r="B372" s="2">
        <v>1358</v>
      </c>
      <c r="C372" s="19" t="s">
        <v>1732</v>
      </c>
      <c r="D372" s="19" t="s">
        <v>2</v>
      </c>
      <c r="E372" s="19" t="s">
        <v>2</v>
      </c>
      <c r="F372" s="19" t="s">
        <v>1218</v>
      </c>
      <c r="G372" s="19" t="s">
        <v>107</v>
      </c>
      <c r="H372" s="19" t="s">
        <v>1224</v>
      </c>
      <c r="I372" s="19" t="s">
        <v>1225</v>
      </c>
      <c r="J372" s="2" t="s">
        <v>2</v>
      </c>
      <c r="K372" s="20">
        <v>45901.125</v>
      </c>
      <c r="L372" s="20">
        <v>45903.125</v>
      </c>
      <c r="M372" s="22">
        <v>350</v>
      </c>
      <c r="N372" s="21">
        <v>486000</v>
      </c>
      <c r="O372" s="2" t="s">
        <v>76</v>
      </c>
      <c r="P372" s="2" t="s">
        <v>4</v>
      </c>
      <c r="Q372" s="2" t="s">
        <v>5</v>
      </c>
      <c r="R372" s="21">
        <f t="shared" si="45"/>
        <v>486000</v>
      </c>
      <c r="S372" s="21">
        <v>486000</v>
      </c>
      <c r="T372" s="5">
        <f t="shared" si="46"/>
        <v>187500</v>
      </c>
      <c r="U372">
        <f t="shared" si="47"/>
        <v>9</v>
      </c>
      <c r="V372">
        <f t="shared" si="48"/>
        <v>9</v>
      </c>
      <c r="W372" s="5">
        <f t="shared" si="49"/>
        <v>0</v>
      </c>
      <c r="X372" s="2" t="s">
        <v>6</v>
      </c>
      <c r="Y372" s="2" t="s">
        <v>2</v>
      </c>
      <c r="Z372">
        <v>892</v>
      </c>
      <c r="AA372" t="s">
        <v>1649</v>
      </c>
      <c r="AC372">
        <f t="shared" si="50"/>
        <v>2025</v>
      </c>
      <c r="AD372">
        <f t="shared" si="51"/>
        <v>2025</v>
      </c>
      <c r="AE372">
        <f t="shared" si="52"/>
        <v>2025</v>
      </c>
      <c r="AF372">
        <f t="shared" si="53"/>
        <v>9</v>
      </c>
    </row>
    <row r="373" spans="1:32" x14ac:dyDescent="0.25">
      <c r="A373" s="59">
        <v>45902.125</v>
      </c>
      <c r="B373" s="2">
        <v>1359</v>
      </c>
      <c r="C373" s="19" t="s">
        <v>135</v>
      </c>
      <c r="D373" s="19" t="s">
        <v>2</v>
      </c>
      <c r="E373" s="19" t="s">
        <v>2</v>
      </c>
      <c r="F373" s="19" t="s">
        <v>1226</v>
      </c>
      <c r="G373" s="19" t="s">
        <v>91</v>
      </c>
      <c r="H373" s="19" t="s">
        <v>204</v>
      </c>
      <c r="I373" s="19" t="s">
        <v>1227</v>
      </c>
      <c r="J373" s="2" t="s">
        <v>2</v>
      </c>
      <c r="K373" s="20">
        <v>45902.125</v>
      </c>
      <c r="L373" s="20">
        <v>45902.125</v>
      </c>
      <c r="M373" s="22">
        <v>130</v>
      </c>
      <c r="N373" s="21">
        <v>180000</v>
      </c>
      <c r="O373" s="2" t="s">
        <v>76</v>
      </c>
      <c r="P373" s="2" t="s">
        <v>4</v>
      </c>
      <c r="Q373" s="2" t="s">
        <v>5</v>
      </c>
      <c r="R373" s="21">
        <f t="shared" si="45"/>
        <v>180000</v>
      </c>
      <c r="S373" s="21">
        <v>180000</v>
      </c>
      <c r="T373" s="5">
        <f t="shared" si="46"/>
        <v>187500</v>
      </c>
      <c r="U373">
        <f t="shared" si="47"/>
        <v>9</v>
      </c>
      <c r="V373">
        <f t="shared" si="48"/>
        <v>9</v>
      </c>
      <c r="W373" s="5">
        <f t="shared" si="49"/>
        <v>0</v>
      </c>
      <c r="X373" s="2" t="s">
        <v>6</v>
      </c>
      <c r="Y373" s="2" t="s">
        <v>2</v>
      </c>
      <c r="Z373">
        <v>891</v>
      </c>
      <c r="AA373" t="s">
        <v>1650</v>
      </c>
      <c r="AC373">
        <f t="shared" si="50"/>
        <v>2025</v>
      </c>
      <c r="AD373">
        <f t="shared" si="51"/>
        <v>2025</v>
      </c>
      <c r="AE373">
        <f t="shared" si="52"/>
        <v>2025</v>
      </c>
      <c r="AF373">
        <f t="shared" si="53"/>
        <v>9</v>
      </c>
    </row>
    <row r="374" spans="1:32" x14ac:dyDescent="0.25">
      <c r="A374" s="59">
        <v>45904.125</v>
      </c>
      <c r="B374" s="2">
        <v>1360</v>
      </c>
      <c r="C374" s="19" t="s">
        <v>1228</v>
      </c>
      <c r="D374" s="19" t="s">
        <v>2</v>
      </c>
      <c r="E374" s="19" t="s">
        <v>2</v>
      </c>
      <c r="F374" s="19" t="s">
        <v>1229</v>
      </c>
      <c r="G374" s="19" t="s">
        <v>1230</v>
      </c>
      <c r="H374" s="19" t="s">
        <v>1231</v>
      </c>
      <c r="I374" s="19" t="s">
        <v>1232</v>
      </c>
      <c r="J374" s="2" t="s">
        <v>2</v>
      </c>
      <c r="K374" s="20">
        <v>45910.125</v>
      </c>
      <c r="L374" s="20">
        <v>45910.125</v>
      </c>
      <c r="M374" s="22">
        <v>130</v>
      </c>
      <c r="N374" s="21">
        <v>180000</v>
      </c>
      <c r="O374" s="2" t="s">
        <v>76</v>
      </c>
      <c r="P374" s="2" t="s">
        <v>4</v>
      </c>
      <c r="Q374" s="2" t="s">
        <v>5</v>
      </c>
      <c r="R374" s="21">
        <f t="shared" si="45"/>
        <v>180000</v>
      </c>
      <c r="S374" s="21">
        <v>180000</v>
      </c>
      <c r="T374" s="5">
        <f t="shared" si="46"/>
        <v>187500</v>
      </c>
      <c r="U374">
        <f t="shared" si="47"/>
        <v>9</v>
      </c>
      <c r="V374">
        <f t="shared" si="48"/>
        <v>9</v>
      </c>
      <c r="W374" s="5">
        <f t="shared" si="49"/>
        <v>0</v>
      </c>
      <c r="X374" s="2" t="s">
        <v>6</v>
      </c>
      <c r="Y374" s="2" t="s">
        <v>2</v>
      </c>
      <c r="AC374">
        <f t="shared" si="50"/>
        <v>2025</v>
      </c>
      <c r="AD374">
        <f t="shared" si="51"/>
        <v>2025</v>
      </c>
      <c r="AE374">
        <f t="shared" si="52"/>
        <v>2025</v>
      </c>
      <c r="AF374">
        <f t="shared" si="53"/>
        <v>9</v>
      </c>
    </row>
    <row r="375" spans="1:32" x14ac:dyDescent="0.25">
      <c r="A375" s="59">
        <v>45904.125</v>
      </c>
      <c r="B375" s="2">
        <v>1361</v>
      </c>
      <c r="C375" s="19" t="s">
        <v>161</v>
      </c>
      <c r="D375" s="19" t="s">
        <v>2</v>
      </c>
      <c r="E375" s="19" t="s">
        <v>2</v>
      </c>
      <c r="F375" s="19" t="s">
        <v>162</v>
      </c>
      <c r="G375" s="19" t="s">
        <v>1233</v>
      </c>
      <c r="H375" s="19" t="s">
        <v>1234</v>
      </c>
      <c r="I375" s="19" t="s">
        <v>1235</v>
      </c>
      <c r="J375" s="2" t="s">
        <v>2</v>
      </c>
      <c r="K375" s="20">
        <v>45919.125</v>
      </c>
      <c r="L375" s="20">
        <v>45911.125</v>
      </c>
      <c r="M375" s="22">
        <v>0</v>
      </c>
      <c r="N375" s="21">
        <v>0</v>
      </c>
      <c r="O375" s="2" t="s">
        <v>76</v>
      </c>
      <c r="P375" s="2" t="s">
        <v>306</v>
      </c>
      <c r="Q375" s="2" t="s">
        <v>5</v>
      </c>
      <c r="R375" s="21">
        <f t="shared" si="45"/>
        <v>0</v>
      </c>
      <c r="S375" s="21">
        <v>0</v>
      </c>
      <c r="T375" s="5">
        <f t="shared" si="46"/>
        <v>187500</v>
      </c>
      <c r="U375">
        <f t="shared" si="47"/>
        <v>9</v>
      </c>
      <c r="V375">
        <f t="shared" si="48"/>
        <v>9</v>
      </c>
      <c r="W375" s="5">
        <f t="shared" si="49"/>
        <v>0</v>
      </c>
      <c r="X375" s="2" t="s">
        <v>6</v>
      </c>
      <c r="Y375" s="2" t="s">
        <v>2</v>
      </c>
      <c r="AC375">
        <f t="shared" si="50"/>
        <v>2025</v>
      </c>
      <c r="AD375">
        <f t="shared" si="51"/>
        <v>2025</v>
      </c>
      <c r="AE375">
        <f t="shared" si="52"/>
        <v>2025</v>
      </c>
      <c r="AF375">
        <f t="shared" si="53"/>
        <v>9</v>
      </c>
    </row>
    <row r="376" spans="1:32" x14ac:dyDescent="0.25">
      <c r="A376" s="59">
        <v>45910.125</v>
      </c>
      <c r="B376" s="2">
        <v>1362</v>
      </c>
      <c r="C376" s="19" t="s">
        <v>135</v>
      </c>
      <c r="D376" s="19" t="s">
        <v>2</v>
      </c>
      <c r="E376" s="19" t="s">
        <v>2</v>
      </c>
      <c r="F376" s="19" t="s">
        <v>602</v>
      </c>
      <c r="G376" s="19" t="s">
        <v>91</v>
      </c>
      <c r="H376" s="19" t="s">
        <v>603</v>
      </c>
      <c r="I376" s="19" t="s">
        <v>1236</v>
      </c>
      <c r="J376" s="2" t="s">
        <v>2</v>
      </c>
      <c r="K376" s="20">
        <v>45910.125</v>
      </c>
      <c r="L376" s="20">
        <v>45926.125</v>
      </c>
      <c r="M376" s="22">
        <v>110</v>
      </c>
      <c r="N376" s="21">
        <v>157000</v>
      </c>
      <c r="O376" s="2" t="s">
        <v>76</v>
      </c>
      <c r="P376" s="2" t="s">
        <v>4</v>
      </c>
      <c r="Q376" s="2" t="s">
        <v>5</v>
      </c>
      <c r="R376" s="21">
        <f t="shared" si="45"/>
        <v>157000</v>
      </c>
      <c r="S376" s="21">
        <v>157000</v>
      </c>
      <c r="T376" s="5">
        <f t="shared" si="46"/>
        <v>187500</v>
      </c>
      <c r="U376">
        <f t="shared" si="47"/>
        <v>9</v>
      </c>
      <c r="V376">
        <f t="shared" si="48"/>
        <v>9</v>
      </c>
      <c r="W376" s="5">
        <f t="shared" si="49"/>
        <v>0</v>
      </c>
      <c r="X376" s="2" t="s">
        <v>6</v>
      </c>
      <c r="Y376" s="2" t="s">
        <v>2</v>
      </c>
      <c r="Z376">
        <v>890</v>
      </c>
      <c r="AA376" t="s">
        <v>1651</v>
      </c>
      <c r="AC376">
        <f t="shared" si="50"/>
        <v>2025</v>
      </c>
      <c r="AD376">
        <f t="shared" si="51"/>
        <v>2025</v>
      </c>
      <c r="AE376">
        <f t="shared" si="52"/>
        <v>2025</v>
      </c>
      <c r="AF376">
        <f t="shared" si="53"/>
        <v>9</v>
      </c>
    </row>
    <row r="377" spans="1:32" x14ac:dyDescent="0.25">
      <c r="A377" s="59">
        <v>45910.125</v>
      </c>
      <c r="B377" s="2">
        <v>1363</v>
      </c>
      <c r="C377" s="19" t="s">
        <v>218</v>
      </c>
      <c r="D377" s="19" t="s">
        <v>2</v>
      </c>
      <c r="E377" s="19" t="s">
        <v>2</v>
      </c>
      <c r="F377" s="19" t="s">
        <v>630</v>
      </c>
      <c r="G377" s="19" t="s">
        <v>631</v>
      </c>
      <c r="H377" s="19" t="s">
        <v>1237</v>
      </c>
      <c r="I377" s="19" t="s">
        <v>1238</v>
      </c>
      <c r="J377" s="2" t="s">
        <v>2</v>
      </c>
      <c r="K377" s="20">
        <v>45910.125</v>
      </c>
      <c r="L377" s="20">
        <v>45910.125</v>
      </c>
      <c r="M377" s="22">
        <v>80</v>
      </c>
      <c r="N377" s="21">
        <v>114000</v>
      </c>
      <c r="O377" s="2" t="s">
        <v>76</v>
      </c>
      <c r="P377" s="2" t="s">
        <v>4</v>
      </c>
      <c r="Q377" s="2" t="s">
        <v>5</v>
      </c>
      <c r="R377" s="21">
        <f t="shared" si="45"/>
        <v>114000</v>
      </c>
      <c r="S377" s="21">
        <v>114000</v>
      </c>
      <c r="T377" s="5">
        <f t="shared" si="46"/>
        <v>187500</v>
      </c>
      <c r="U377">
        <f t="shared" si="47"/>
        <v>9</v>
      </c>
      <c r="V377">
        <f t="shared" si="48"/>
        <v>9</v>
      </c>
      <c r="W377" s="5">
        <f t="shared" si="49"/>
        <v>0</v>
      </c>
      <c r="X377" s="2" t="s">
        <v>6</v>
      </c>
      <c r="Y377" s="2" t="s">
        <v>2</v>
      </c>
      <c r="AA377" t="s">
        <v>1652</v>
      </c>
      <c r="AC377">
        <f t="shared" si="50"/>
        <v>2025</v>
      </c>
      <c r="AD377">
        <f t="shared" si="51"/>
        <v>2025</v>
      </c>
      <c r="AE377">
        <f t="shared" si="52"/>
        <v>2025</v>
      </c>
      <c r="AF377">
        <f t="shared" si="53"/>
        <v>9</v>
      </c>
    </row>
    <row r="378" spans="1:32" x14ac:dyDescent="0.25">
      <c r="A378" s="59">
        <v>45911.125</v>
      </c>
      <c r="B378" s="2">
        <v>1364</v>
      </c>
      <c r="C378" s="19" t="s">
        <v>1239</v>
      </c>
      <c r="D378" s="19" t="s">
        <v>2</v>
      </c>
      <c r="E378" s="19" t="s">
        <v>2</v>
      </c>
      <c r="F378" s="19" t="s">
        <v>1240</v>
      </c>
      <c r="G378" s="19" t="s">
        <v>1241</v>
      </c>
      <c r="H378" s="19" t="s">
        <v>1242</v>
      </c>
      <c r="I378" s="19" t="s">
        <v>1243</v>
      </c>
      <c r="J378" s="2" t="s">
        <v>2</v>
      </c>
      <c r="K378" s="20">
        <v>45940.125</v>
      </c>
      <c r="L378" s="20">
        <v>45932.125</v>
      </c>
      <c r="M378" s="22">
        <v>165</v>
      </c>
      <c r="N378" s="21">
        <v>237000</v>
      </c>
      <c r="O378" s="2" t="s">
        <v>76</v>
      </c>
      <c r="P378" s="2" t="s">
        <v>4</v>
      </c>
      <c r="Q378" s="2" t="s">
        <v>5</v>
      </c>
      <c r="R378" s="21">
        <f t="shared" si="45"/>
        <v>237000</v>
      </c>
      <c r="S378" s="21">
        <v>237000</v>
      </c>
      <c r="T378" s="5">
        <f t="shared" si="46"/>
        <v>187500</v>
      </c>
      <c r="U378">
        <f t="shared" si="47"/>
        <v>10</v>
      </c>
      <c r="V378">
        <f t="shared" si="48"/>
        <v>9</v>
      </c>
      <c r="W378" s="5">
        <f t="shared" si="49"/>
        <v>0</v>
      </c>
      <c r="X378" s="2" t="s">
        <v>6</v>
      </c>
      <c r="Y378" s="2" t="s">
        <v>2</v>
      </c>
      <c r="Z378">
        <v>902</v>
      </c>
      <c r="AA378" t="s">
        <v>1653</v>
      </c>
      <c r="AC378">
        <f t="shared" si="50"/>
        <v>2025</v>
      </c>
      <c r="AD378">
        <f t="shared" si="51"/>
        <v>2025</v>
      </c>
      <c r="AE378">
        <f t="shared" si="52"/>
        <v>2025</v>
      </c>
      <c r="AF378">
        <f t="shared" si="53"/>
        <v>10</v>
      </c>
    </row>
    <row r="379" spans="1:32" x14ac:dyDescent="0.25">
      <c r="A379" s="59">
        <v>45915.125</v>
      </c>
      <c r="B379" s="2">
        <v>1365</v>
      </c>
      <c r="C379" s="19" t="s">
        <v>206</v>
      </c>
      <c r="D379" s="19" t="s">
        <v>2</v>
      </c>
      <c r="E379" s="19" t="s">
        <v>2</v>
      </c>
      <c r="F379" s="19" t="s">
        <v>1244</v>
      </c>
      <c r="G379" s="19" t="s">
        <v>1245</v>
      </c>
      <c r="H379" s="19" t="s">
        <v>1246</v>
      </c>
      <c r="I379" s="19" t="s">
        <v>1247</v>
      </c>
      <c r="J379" s="2" t="s">
        <v>2</v>
      </c>
      <c r="K379" s="20">
        <v>45933.125</v>
      </c>
      <c r="L379" s="20">
        <v>45922.125</v>
      </c>
      <c r="M379" s="22">
        <v>0</v>
      </c>
      <c r="N379" s="21">
        <v>0</v>
      </c>
      <c r="O379" s="2" t="s">
        <v>76</v>
      </c>
      <c r="P379" s="2" t="s">
        <v>306</v>
      </c>
      <c r="Q379" s="2" t="s">
        <v>5</v>
      </c>
      <c r="R379" s="21">
        <f t="shared" si="45"/>
        <v>0</v>
      </c>
      <c r="S379" s="21">
        <v>0</v>
      </c>
      <c r="T379" s="5">
        <f t="shared" si="46"/>
        <v>187500</v>
      </c>
      <c r="U379">
        <f t="shared" si="47"/>
        <v>10</v>
      </c>
      <c r="V379">
        <f t="shared" si="48"/>
        <v>9</v>
      </c>
      <c r="W379" s="5">
        <f t="shared" si="49"/>
        <v>0</v>
      </c>
      <c r="X379" s="2" t="s">
        <v>6</v>
      </c>
      <c r="Y379" s="2" t="s">
        <v>2</v>
      </c>
      <c r="Z379">
        <v>893</v>
      </c>
      <c r="AC379">
        <f t="shared" si="50"/>
        <v>2025</v>
      </c>
      <c r="AD379">
        <f t="shared" si="51"/>
        <v>2025</v>
      </c>
      <c r="AE379">
        <f t="shared" si="52"/>
        <v>2025</v>
      </c>
      <c r="AF379">
        <f t="shared" si="53"/>
        <v>9</v>
      </c>
    </row>
    <row r="380" spans="1:32" x14ac:dyDescent="0.25">
      <c r="A380" s="59">
        <v>45916.125</v>
      </c>
      <c r="B380" s="2">
        <v>1366</v>
      </c>
      <c r="C380" s="19" t="s">
        <v>1732</v>
      </c>
      <c r="D380" s="19" t="s">
        <v>2</v>
      </c>
      <c r="E380" s="19" t="s">
        <v>2</v>
      </c>
      <c r="F380" s="19" t="s">
        <v>1218</v>
      </c>
      <c r="G380" s="19" t="s">
        <v>107</v>
      </c>
      <c r="H380" s="19" t="s">
        <v>1224</v>
      </c>
      <c r="I380" s="19" t="s">
        <v>1248</v>
      </c>
      <c r="J380" s="2" t="s">
        <v>2</v>
      </c>
      <c r="K380" s="20">
        <v>45940.125</v>
      </c>
      <c r="L380" s="20">
        <v>45932.125</v>
      </c>
      <c r="M380" s="22">
        <v>350</v>
      </c>
      <c r="N380" s="21">
        <v>520000</v>
      </c>
      <c r="O380" s="2" t="s">
        <v>76</v>
      </c>
      <c r="P380" s="2" t="s">
        <v>4</v>
      </c>
      <c r="Q380" s="2" t="s">
        <v>5</v>
      </c>
      <c r="R380" s="21">
        <f t="shared" si="45"/>
        <v>520000</v>
      </c>
      <c r="S380" s="21">
        <v>520000</v>
      </c>
      <c r="T380" s="5">
        <f t="shared" si="46"/>
        <v>187500</v>
      </c>
      <c r="U380">
        <f t="shared" si="47"/>
        <v>10</v>
      </c>
      <c r="V380">
        <f t="shared" si="48"/>
        <v>9</v>
      </c>
      <c r="W380" s="5">
        <f t="shared" si="49"/>
        <v>0</v>
      </c>
      <c r="X380" s="2" t="s">
        <v>6</v>
      </c>
      <c r="Y380" s="2" t="s">
        <v>2</v>
      </c>
      <c r="Z380">
        <v>912</v>
      </c>
      <c r="AC380">
        <f t="shared" si="50"/>
        <v>2025</v>
      </c>
      <c r="AD380">
        <f t="shared" si="51"/>
        <v>2025</v>
      </c>
      <c r="AE380">
        <f t="shared" si="52"/>
        <v>2025</v>
      </c>
      <c r="AF380">
        <f t="shared" si="53"/>
        <v>10</v>
      </c>
    </row>
    <row r="381" spans="1:32" x14ac:dyDescent="0.25">
      <c r="A381" s="59">
        <v>45917.125</v>
      </c>
      <c r="B381" s="2">
        <v>1367</v>
      </c>
      <c r="C381" s="19" t="s">
        <v>1732</v>
      </c>
      <c r="D381" s="19" t="s">
        <v>2</v>
      </c>
      <c r="E381" s="19" t="s">
        <v>2</v>
      </c>
      <c r="F381" s="19" t="s">
        <v>1249</v>
      </c>
      <c r="G381" s="19" t="s">
        <v>107</v>
      </c>
      <c r="H381" s="19" t="s">
        <v>1250</v>
      </c>
      <c r="I381" s="19" t="s">
        <v>1251</v>
      </c>
      <c r="J381" s="2" t="s">
        <v>2</v>
      </c>
      <c r="K381" s="20">
        <v>45947.125</v>
      </c>
      <c r="L381" s="20">
        <v>45932.125</v>
      </c>
      <c r="M381" s="22">
        <v>750</v>
      </c>
      <c r="N381" s="21">
        <v>1113000</v>
      </c>
      <c r="O381" s="2" t="s">
        <v>76</v>
      </c>
      <c r="P381" s="2" t="s">
        <v>4</v>
      </c>
      <c r="Q381" s="2" t="s">
        <v>5</v>
      </c>
      <c r="R381" s="21">
        <f t="shared" si="45"/>
        <v>1113000</v>
      </c>
      <c r="S381" s="21">
        <v>1113000</v>
      </c>
      <c r="T381" s="5">
        <f t="shared" si="46"/>
        <v>187500</v>
      </c>
      <c r="U381">
        <f t="shared" si="47"/>
        <v>10</v>
      </c>
      <c r="V381">
        <f t="shared" si="48"/>
        <v>9</v>
      </c>
      <c r="W381" s="5">
        <f t="shared" si="49"/>
        <v>0</v>
      </c>
      <c r="X381" s="2" t="s">
        <v>6</v>
      </c>
      <c r="Y381" s="2" t="s">
        <v>2</v>
      </c>
      <c r="Z381">
        <v>912</v>
      </c>
      <c r="AC381">
        <f t="shared" si="50"/>
        <v>2025</v>
      </c>
      <c r="AD381">
        <f t="shared" si="51"/>
        <v>2025</v>
      </c>
      <c r="AE381">
        <f t="shared" si="52"/>
        <v>2025</v>
      </c>
      <c r="AF381">
        <f t="shared" si="53"/>
        <v>10</v>
      </c>
    </row>
    <row r="382" spans="1:32" x14ac:dyDescent="0.25">
      <c r="A382" s="59">
        <v>45919.125</v>
      </c>
      <c r="B382" s="2">
        <v>1368</v>
      </c>
      <c r="C382" s="19" t="s">
        <v>1252</v>
      </c>
      <c r="D382" s="19" t="s">
        <v>2</v>
      </c>
      <c r="E382" s="19" t="s">
        <v>2</v>
      </c>
      <c r="F382" s="19" t="s">
        <v>1253</v>
      </c>
      <c r="G382" s="19" t="s">
        <v>1254</v>
      </c>
      <c r="H382" s="19" t="s">
        <v>1255</v>
      </c>
      <c r="I382" s="19" t="s">
        <v>1256</v>
      </c>
      <c r="J382" s="2" t="s">
        <v>2</v>
      </c>
      <c r="K382" s="20">
        <v>45923.125</v>
      </c>
      <c r="L382" s="20">
        <v>45923.125</v>
      </c>
      <c r="M382" s="22">
        <v>0</v>
      </c>
      <c r="N382" s="21">
        <v>0</v>
      </c>
      <c r="O382" s="2" t="s">
        <v>76</v>
      </c>
      <c r="P382" s="2" t="s">
        <v>306</v>
      </c>
      <c r="Q382" s="2" t="s">
        <v>5</v>
      </c>
      <c r="R382" s="21">
        <f t="shared" si="45"/>
        <v>0</v>
      </c>
      <c r="S382" s="21">
        <v>0</v>
      </c>
      <c r="T382" s="5">
        <f t="shared" si="46"/>
        <v>187500</v>
      </c>
      <c r="U382">
        <f t="shared" si="47"/>
        <v>9</v>
      </c>
      <c r="V382">
        <f t="shared" si="48"/>
        <v>9</v>
      </c>
      <c r="W382" s="5">
        <f t="shared" si="49"/>
        <v>0</v>
      </c>
      <c r="X382" s="2" t="s">
        <v>6</v>
      </c>
      <c r="Y382" s="2" t="s">
        <v>2</v>
      </c>
      <c r="AC382">
        <f t="shared" si="50"/>
        <v>2025</v>
      </c>
      <c r="AD382">
        <f t="shared" si="51"/>
        <v>2025</v>
      </c>
      <c r="AE382">
        <f t="shared" si="52"/>
        <v>2025</v>
      </c>
      <c r="AF382">
        <f t="shared" si="53"/>
        <v>9</v>
      </c>
    </row>
    <row r="383" spans="1:32" x14ac:dyDescent="0.25">
      <c r="A383" s="59">
        <v>45922.125</v>
      </c>
      <c r="B383" s="2">
        <v>1369</v>
      </c>
      <c r="C383" s="19" t="s">
        <v>1000</v>
      </c>
      <c r="D383" s="19" t="s">
        <v>2</v>
      </c>
      <c r="E383" s="19" t="s">
        <v>2</v>
      </c>
      <c r="F383" s="19" t="s">
        <v>86</v>
      </c>
      <c r="G383" s="19" t="s">
        <v>351</v>
      </c>
      <c r="H383" s="19" t="s">
        <v>430</v>
      </c>
      <c r="I383" s="19" t="s">
        <v>1257</v>
      </c>
      <c r="J383" s="2" t="s">
        <v>2</v>
      </c>
      <c r="K383" s="20">
        <v>45922.125</v>
      </c>
      <c r="L383" s="20">
        <v>45922.125</v>
      </c>
      <c r="M383" s="22">
        <v>147</v>
      </c>
      <c r="N383" s="21">
        <v>210000</v>
      </c>
      <c r="O383" s="2" t="s">
        <v>76</v>
      </c>
      <c r="P383" s="2" t="s">
        <v>4</v>
      </c>
      <c r="Q383" s="2" t="s">
        <v>5</v>
      </c>
      <c r="R383" s="21">
        <f t="shared" si="45"/>
        <v>210000</v>
      </c>
      <c r="S383" s="21">
        <v>210000</v>
      </c>
      <c r="T383" s="5">
        <f t="shared" si="46"/>
        <v>187500</v>
      </c>
      <c r="U383">
        <f t="shared" si="47"/>
        <v>9</v>
      </c>
      <c r="V383">
        <f t="shared" si="48"/>
        <v>9</v>
      </c>
      <c r="W383" s="5">
        <f t="shared" si="49"/>
        <v>0</v>
      </c>
      <c r="X383" s="2" t="s">
        <v>6</v>
      </c>
      <c r="Y383" s="2" t="s">
        <v>2</v>
      </c>
      <c r="Z383">
        <v>894</v>
      </c>
      <c r="AC383">
        <f t="shared" si="50"/>
        <v>2025</v>
      </c>
      <c r="AD383">
        <f t="shared" si="51"/>
        <v>2025</v>
      </c>
      <c r="AE383">
        <f t="shared" si="52"/>
        <v>2025</v>
      </c>
      <c r="AF383">
        <f t="shared" si="53"/>
        <v>9</v>
      </c>
    </row>
    <row r="384" spans="1:32" x14ac:dyDescent="0.25">
      <c r="A384" s="59">
        <v>45922.125</v>
      </c>
      <c r="B384" s="2">
        <v>1370</v>
      </c>
      <c r="C384" s="19" t="s">
        <v>161</v>
      </c>
      <c r="D384" s="19" t="s">
        <v>2</v>
      </c>
      <c r="E384" s="19" t="s">
        <v>2</v>
      </c>
      <c r="F384" s="19" t="s">
        <v>162</v>
      </c>
      <c r="G384" s="19" t="s">
        <v>163</v>
      </c>
      <c r="H384" s="19" t="s">
        <v>1258</v>
      </c>
      <c r="I384" s="19" t="s">
        <v>1259</v>
      </c>
      <c r="J384" s="2" t="s">
        <v>2</v>
      </c>
      <c r="K384" s="20">
        <v>45926.125</v>
      </c>
      <c r="L384" s="20">
        <v>45926.125</v>
      </c>
      <c r="M384" s="22">
        <v>69</v>
      </c>
      <c r="N384" s="21">
        <v>100000</v>
      </c>
      <c r="O384" s="2" t="s">
        <v>76</v>
      </c>
      <c r="P384" s="2" t="s">
        <v>4</v>
      </c>
      <c r="Q384" s="2" t="s">
        <v>5</v>
      </c>
      <c r="R384" s="21">
        <f t="shared" si="45"/>
        <v>100000</v>
      </c>
      <c r="S384" s="21">
        <v>100000</v>
      </c>
      <c r="T384" s="5">
        <f t="shared" si="46"/>
        <v>187500</v>
      </c>
      <c r="U384">
        <f t="shared" si="47"/>
        <v>9</v>
      </c>
      <c r="V384">
        <f t="shared" si="48"/>
        <v>9</v>
      </c>
      <c r="W384" s="5">
        <f t="shared" si="49"/>
        <v>0</v>
      </c>
      <c r="X384" s="2" t="s">
        <v>6</v>
      </c>
      <c r="Y384" s="2" t="s">
        <v>2</v>
      </c>
      <c r="Z384">
        <v>895</v>
      </c>
      <c r="AC384">
        <f t="shared" si="50"/>
        <v>2025</v>
      </c>
      <c r="AD384">
        <f t="shared" si="51"/>
        <v>2025</v>
      </c>
      <c r="AE384">
        <f t="shared" si="52"/>
        <v>2025</v>
      </c>
      <c r="AF384">
        <f t="shared" si="53"/>
        <v>9</v>
      </c>
    </row>
    <row r="385" spans="1:32" x14ac:dyDescent="0.25">
      <c r="A385" s="59">
        <v>45926.125</v>
      </c>
      <c r="B385" s="2">
        <v>1371</v>
      </c>
      <c r="C385" s="19" t="s">
        <v>1732</v>
      </c>
      <c r="D385" s="19" t="s">
        <v>2</v>
      </c>
      <c r="E385" s="19" t="s">
        <v>2</v>
      </c>
      <c r="F385" s="19" t="s">
        <v>1218</v>
      </c>
      <c r="G385" s="19" t="s">
        <v>107</v>
      </c>
      <c r="H385" s="19" t="s">
        <v>265</v>
      </c>
      <c r="I385" s="19" t="s">
        <v>1260</v>
      </c>
      <c r="J385" s="2" t="s">
        <v>2</v>
      </c>
      <c r="K385" s="20">
        <v>45926.125</v>
      </c>
      <c r="L385" s="20">
        <v>45926.125</v>
      </c>
      <c r="M385" s="22">
        <v>200</v>
      </c>
      <c r="N385" s="21">
        <v>292000</v>
      </c>
      <c r="O385" s="2" t="s">
        <v>76</v>
      </c>
      <c r="P385" s="2" t="s">
        <v>4</v>
      </c>
      <c r="Q385" s="2" t="s">
        <v>5</v>
      </c>
      <c r="R385" s="21">
        <f t="shared" si="45"/>
        <v>292000</v>
      </c>
      <c r="S385" s="21">
        <v>292000</v>
      </c>
      <c r="T385" s="5">
        <f t="shared" si="46"/>
        <v>187500</v>
      </c>
      <c r="U385">
        <f t="shared" si="47"/>
        <v>9</v>
      </c>
      <c r="V385">
        <f t="shared" si="48"/>
        <v>9</v>
      </c>
      <c r="W385" s="5">
        <f t="shared" si="49"/>
        <v>0</v>
      </c>
      <c r="X385" s="2" t="s">
        <v>6</v>
      </c>
      <c r="Y385" s="2" t="s">
        <v>2</v>
      </c>
      <c r="Z385">
        <v>896</v>
      </c>
      <c r="AA385" t="s">
        <v>1654</v>
      </c>
      <c r="AC385">
        <f t="shared" si="50"/>
        <v>2025</v>
      </c>
      <c r="AD385">
        <f t="shared" si="51"/>
        <v>2025</v>
      </c>
      <c r="AE385">
        <f t="shared" si="52"/>
        <v>2025</v>
      </c>
      <c r="AF385">
        <f t="shared" si="53"/>
        <v>9</v>
      </c>
    </row>
    <row r="386" spans="1:32" x14ac:dyDescent="0.25">
      <c r="A386" s="59">
        <v>45926.125</v>
      </c>
      <c r="B386" s="2">
        <v>1372</v>
      </c>
      <c r="C386" s="19" t="s">
        <v>1732</v>
      </c>
      <c r="D386" s="19" t="s">
        <v>2</v>
      </c>
      <c r="E386" s="19" t="s">
        <v>2</v>
      </c>
      <c r="F386" s="19" t="s">
        <v>1218</v>
      </c>
      <c r="G386" s="19" t="s">
        <v>107</v>
      </c>
      <c r="H386" s="19" t="s">
        <v>1261</v>
      </c>
      <c r="I386" s="19" t="s">
        <v>1262</v>
      </c>
      <c r="J386" s="2" t="s">
        <v>2</v>
      </c>
      <c r="K386" s="20">
        <v>45931.125</v>
      </c>
      <c r="L386" s="20">
        <v>45932.125</v>
      </c>
      <c r="M386" s="22">
        <v>150</v>
      </c>
      <c r="N386" s="21">
        <v>217000</v>
      </c>
      <c r="O386" s="2" t="s">
        <v>76</v>
      </c>
      <c r="P386" s="2" t="s">
        <v>4</v>
      </c>
      <c r="Q386" s="2" t="s">
        <v>5</v>
      </c>
      <c r="R386" s="21">
        <f t="shared" ref="R386:R449" si="54">IF(Q386="Aceptado",N386,0)</f>
        <v>217000</v>
      </c>
      <c r="S386" s="21">
        <v>217000</v>
      </c>
      <c r="T386" s="5">
        <f t="shared" ref="T386:T449" si="55">IFERROR(+T385+R386-S386,0)</f>
        <v>187500</v>
      </c>
      <c r="U386">
        <f t="shared" ref="U386:U449" si="56">IF(NOT(ISBLANK(K386)),MONTH(K386),"")</f>
        <v>10</v>
      </c>
      <c r="V386">
        <f t="shared" ref="V386:V449" si="57">IF(NOT(ISBLANK(A386)),MONTH(A386),"")</f>
        <v>9</v>
      </c>
      <c r="W386" s="5">
        <f t="shared" ref="W386:W449" si="58">IFERROR(+S386-R386,0)</f>
        <v>0</v>
      </c>
      <c r="X386" s="2" t="s">
        <v>6</v>
      </c>
      <c r="Y386" s="2" t="s">
        <v>2</v>
      </c>
      <c r="Z386">
        <v>898</v>
      </c>
      <c r="AA386" t="s">
        <v>1655</v>
      </c>
      <c r="AC386">
        <f t="shared" ref="AC386:AC449" si="59">IF(NOT(ISBLANK(K386)),YEAR(K386),"")</f>
        <v>2025</v>
      </c>
      <c r="AD386">
        <f t="shared" ref="AD386:AD449" si="60">IF(NOT(ISBLANK(A386)),YEAR(A386),"")</f>
        <v>2025</v>
      </c>
      <c r="AE386">
        <f t="shared" ref="AE386:AE449" si="61">IF(NOT(ISBLANK(L386)),YEAR(L386),"")</f>
        <v>2025</v>
      </c>
      <c r="AF386">
        <f t="shared" ref="AF386:AF449" si="62">IF(NOT(ISBLANK(L386)),MONTH(L386),"")</f>
        <v>10</v>
      </c>
    </row>
    <row r="387" spans="1:32" x14ac:dyDescent="0.25">
      <c r="A387" s="59">
        <v>45929.125</v>
      </c>
      <c r="B387" s="2">
        <v>1373</v>
      </c>
      <c r="C387" s="19" t="s">
        <v>535</v>
      </c>
      <c r="D387" s="19" t="s">
        <v>2</v>
      </c>
      <c r="E387" s="19" t="s">
        <v>2</v>
      </c>
      <c r="F387" s="19" t="s">
        <v>86</v>
      </c>
      <c r="G387" s="19" t="s">
        <v>94</v>
      </c>
      <c r="H387" s="19" t="s">
        <v>1263</v>
      </c>
      <c r="I387" s="19" t="s">
        <v>1264</v>
      </c>
      <c r="J387" s="2" t="s">
        <v>2</v>
      </c>
      <c r="K387" s="20">
        <v>45929.125</v>
      </c>
      <c r="L387" s="20">
        <v>45932.125</v>
      </c>
      <c r="M387" s="22">
        <v>160</v>
      </c>
      <c r="N387" s="21">
        <v>225000</v>
      </c>
      <c r="O387" s="2" t="s">
        <v>76</v>
      </c>
      <c r="P387" s="2" t="s">
        <v>4</v>
      </c>
      <c r="Q387" s="2" t="s">
        <v>5</v>
      </c>
      <c r="R387" s="21">
        <f t="shared" si="54"/>
        <v>225000</v>
      </c>
      <c r="S387" s="21">
        <v>225000</v>
      </c>
      <c r="T387" s="5">
        <f t="shared" si="55"/>
        <v>187500</v>
      </c>
      <c r="U387">
        <f t="shared" si="56"/>
        <v>9</v>
      </c>
      <c r="V387">
        <f t="shared" si="57"/>
        <v>9</v>
      </c>
      <c r="W387" s="5">
        <f t="shared" si="58"/>
        <v>0</v>
      </c>
      <c r="X387" s="2" t="s">
        <v>6</v>
      </c>
      <c r="Y387" s="2" t="s">
        <v>2</v>
      </c>
      <c r="Z387">
        <v>897</v>
      </c>
      <c r="AC387">
        <f t="shared" si="59"/>
        <v>2025</v>
      </c>
      <c r="AD387">
        <f t="shared" si="60"/>
        <v>2025</v>
      </c>
      <c r="AE387">
        <f t="shared" si="61"/>
        <v>2025</v>
      </c>
      <c r="AF387">
        <f t="shared" si="62"/>
        <v>10</v>
      </c>
    </row>
    <row r="388" spans="1:32" x14ac:dyDescent="0.25">
      <c r="A388" s="59">
        <v>45931.125</v>
      </c>
      <c r="B388" s="2">
        <v>1374</v>
      </c>
      <c r="C388" s="19" t="s">
        <v>916</v>
      </c>
      <c r="D388" s="19" t="s">
        <v>2</v>
      </c>
      <c r="E388" s="19" t="s">
        <v>2</v>
      </c>
      <c r="F388" s="19" t="s">
        <v>298</v>
      </c>
      <c r="G388" s="19" t="s">
        <v>1061</v>
      </c>
      <c r="H388" s="19" t="s">
        <v>1067</v>
      </c>
      <c r="I388" s="19" t="s">
        <v>1265</v>
      </c>
      <c r="J388" s="2" t="s">
        <v>2</v>
      </c>
      <c r="K388" s="20">
        <v>45931.125</v>
      </c>
      <c r="L388" s="20">
        <v>45940.125</v>
      </c>
      <c r="M388" s="22">
        <v>200</v>
      </c>
      <c r="N388" s="21">
        <v>290000</v>
      </c>
      <c r="O388" s="2" t="s">
        <v>76</v>
      </c>
      <c r="P388" s="2" t="s">
        <v>4</v>
      </c>
      <c r="Q388" s="2" t="s">
        <v>5</v>
      </c>
      <c r="R388" s="21">
        <f t="shared" si="54"/>
        <v>290000</v>
      </c>
      <c r="S388" s="21">
        <v>290000</v>
      </c>
      <c r="T388" s="5">
        <f t="shared" si="55"/>
        <v>187500</v>
      </c>
      <c r="U388">
        <f t="shared" si="56"/>
        <v>10</v>
      </c>
      <c r="V388">
        <f t="shared" si="57"/>
        <v>10</v>
      </c>
      <c r="W388" s="5">
        <f t="shared" si="58"/>
        <v>0</v>
      </c>
      <c r="X388" s="2" t="s">
        <v>6</v>
      </c>
      <c r="Y388" s="2" t="s">
        <v>2</v>
      </c>
      <c r="AA388" t="s">
        <v>1656</v>
      </c>
      <c r="AC388">
        <f t="shared" si="59"/>
        <v>2025</v>
      </c>
      <c r="AD388">
        <f t="shared" si="60"/>
        <v>2025</v>
      </c>
      <c r="AE388">
        <f t="shared" si="61"/>
        <v>2025</v>
      </c>
      <c r="AF388">
        <f t="shared" si="62"/>
        <v>10</v>
      </c>
    </row>
    <row r="389" spans="1:32" x14ac:dyDescent="0.25">
      <c r="A389" s="59">
        <v>45936.125</v>
      </c>
      <c r="B389" s="2">
        <v>1375</v>
      </c>
      <c r="C389" s="19" t="s">
        <v>753</v>
      </c>
      <c r="D389" s="19" t="s">
        <v>2</v>
      </c>
      <c r="E389" s="19" t="s">
        <v>2</v>
      </c>
      <c r="F389" s="19" t="s">
        <v>186</v>
      </c>
      <c r="G389" s="19" t="s">
        <v>1230</v>
      </c>
      <c r="H389" s="19" t="s">
        <v>1266</v>
      </c>
      <c r="I389" s="19" t="s">
        <v>1267</v>
      </c>
      <c r="J389" s="2" t="s">
        <v>2</v>
      </c>
      <c r="K389" s="20">
        <v>45955.125</v>
      </c>
      <c r="L389" s="20">
        <v>45940.125</v>
      </c>
      <c r="M389" s="22">
        <v>104</v>
      </c>
      <c r="N389" s="21">
        <v>150000</v>
      </c>
      <c r="O389" s="2" t="s">
        <v>76</v>
      </c>
      <c r="P389" s="2" t="s">
        <v>4</v>
      </c>
      <c r="Q389" s="2" t="s">
        <v>5</v>
      </c>
      <c r="R389" s="21">
        <f t="shared" si="54"/>
        <v>150000</v>
      </c>
      <c r="S389" s="21">
        <v>150000</v>
      </c>
      <c r="T389" s="5">
        <f t="shared" si="55"/>
        <v>187500</v>
      </c>
      <c r="U389">
        <f t="shared" si="56"/>
        <v>10</v>
      </c>
      <c r="V389">
        <f t="shared" si="57"/>
        <v>10</v>
      </c>
      <c r="W389" s="5">
        <f t="shared" si="58"/>
        <v>0</v>
      </c>
      <c r="X389" s="2" t="s">
        <v>6</v>
      </c>
      <c r="Y389" s="2" t="s">
        <v>2</v>
      </c>
      <c r="Z389">
        <v>907</v>
      </c>
      <c r="AC389">
        <f t="shared" si="59"/>
        <v>2025</v>
      </c>
      <c r="AD389">
        <f t="shared" si="60"/>
        <v>2025</v>
      </c>
      <c r="AE389">
        <f t="shared" si="61"/>
        <v>2025</v>
      </c>
      <c r="AF389">
        <f t="shared" si="62"/>
        <v>10</v>
      </c>
    </row>
    <row r="390" spans="1:32" x14ac:dyDescent="0.25">
      <c r="A390" s="59">
        <v>45939.125</v>
      </c>
      <c r="B390" s="2">
        <v>1376</v>
      </c>
      <c r="C390" s="19" t="s">
        <v>535</v>
      </c>
      <c r="D390" s="19" t="s">
        <v>2</v>
      </c>
      <c r="E390" s="19" t="s">
        <v>2</v>
      </c>
      <c r="F390" s="19" t="s">
        <v>86</v>
      </c>
      <c r="G390" s="19" t="s">
        <v>94</v>
      </c>
      <c r="H390" s="19" t="s">
        <v>270</v>
      </c>
      <c r="I390" s="19" t="s">
        <v>1268</v>
      </c>
      <c r="J390" s="2" t="s">
        <v>2</v>
      </c>
      <c r="K390" s="20">
        <v>45939.125</v>
      </c>
      <c r="L390" s="20">
        <v>45943.125</v>
      </c>
      <c r="M390" s="22">
        <v>147</v>
      </c>
      <c r="N390" s="21">
        <v>220000</v>
      </c>
      <c r="O390" s="2" t="s">
        <v>76</v>
      </c>
      <c r="P390" s="2" t="s">
        <v>4</v>
      </c>
      <c r="Q390" s="2" t="s">
        <v>5</v>
      </c>
      <c r="R390" s="21">
        <f t="shared" si="54"/>
        <v>220000</v>
      </c>
      <c r="S390" s="21">
        <v>220000</v>
      </c>
      <c r="T390" s="5">
        <f t="shared" si="55"/>
        <v>187500</v>
      </c>
      <c r="U390">
        <f t="shared" si="56"/>
        <v>10</v>
      </c>
      <c r="V390">
        <f t="shared" si="57"/>
        <v>10</v>
      </c>
      <c r="W390" s="5">
        <f t="shared" si="58"/>
        <v>0</v>
      </c>
      <c r="X390" s="2" t="s">
        <v>6</v>
      </c>
      <c r="Y390" s="2" t="s">
        <v>2</v>
      </c>
      <c r="Z390">
        <v>899</v>
      </c>
      <c r="AA390" t="s">
        <v>1657</v>
      </c>
      <c r="AC390">
        <f t="shared" si="59"/>
        <v>2025</v>
      </c>
      <c r="AD390">
        <f t="shared" si="60"/>
        <v>2025</v>
      </c>
      <c r="AE390">
        <f t="shared" si="61"/>
        <v>2025</v>
      </c>
      <c r="AF390">
        <f t="shared" si="62"/>
        <v>10</v>
      </c>
    </row>
    <row r="391" spans="1:32" x14ac:dyDescent="0.25">
      <c r="A391" s="59">
        <v>45939.125</v>
      </c>
      <c r="B391" s="2">
        <v>1377</v>
      </c>
      <c r="C391" s="19" t="s">
        <v>202</v>
      </c>
      <c r="D391" s="19" t="s">
        <v>2</v>
      </c>
      <c r="E391" s="19" t="s">
        <v>2</v>
      </c>
      <c r="F391" s="19" t="s">
        <v>1269</v>
      </c>
      <c r="G391" s="19" t="s">
        <v>1270</v>
      </c>
      <c r="H391" s="19" t="s">
        <v>1271</v>
      </c>
      <c r="I391" s="19" t="s">
        <v>1272</v>
      </c>
      <c r="J391" s="2" t="s">
        <v>2</v>
      </c>
      <c r="K391" s="20">
        <v>45940.125</v>
      </c>
      <c r="L391" s="20">
        <v>45939.125</v>
      </c>
      <c r="M391" s="22">
        <v>120</v>
      </c>
      <c r="N391" s="21">
        <v>180000</v>
      </c>
      <c r="O391" s="2" t="s">
        <v>76</v>
      </c>
      <c r="P391" s="2" t="s">
        <v>4</v>
      </c>
      <c r="Q391" s="2" t="s">
        <v>5</v>
      </c>
      <c r="R391" s="21">
        <f t="shared" si="54"/>
        <v>180000</v>
      </c>
      <c r="S391" s="21">
        <v>180000</v>
      </c>
      <c r="T391" s="5">
        <f t="shared" si="55"/>
        <v>187500</v>
      </c>
      <c r="U391">
        <f t="shared" si="56"/>
        <v>10</v>
      </c>
      <c r="V391">
        <f t="shared" si="57"/>
        <v>10</v>
      </c>
      <c r="W391" s="5">
        <f t="shared" si="58"/>
        <v>0</v>
      </c>
      <c r="X391" s="2" t="s">
        <v>6</v>
      </c>
      <c r="Y391" s="2" t="s">
        <v>2</v>
      </c>
      <c r="Z391">
        <v>900</v>
      </c>
      <c r="AC391">
        <f t="shared" si="59"/>
        <v>2025</v>
      </c>
      <c r="AD391">
        <f t="shared" si="60"/>
        <v>2025</v>
      </c>
      <c r="AE391">
        <f t="shared" si="61"/>
        <v>2025</v>
      </c>
      <c r="AF391">
        <f t="shared" si="62"/>
        <v>10</v>
      </c>
    </row>
    <row r="392" spans="1:32" x14ac:dyDescent="0.25">
      <c r="A392" s="59">
        <v>45943.125</v>
      </c>
      <c r="B392" s="2">
        <v>1378</v>
      </c>
      <c r="C392" s="19" t="s">
        <v>297</v>
      </c>
      <c r="D392" s="19" t="s">
        <v>2</v>
      </c>
      <c r="E392" s="19" t="s">
        <v>2</v>
      </c>
      <c r="F392" s="19" t="s">
        <v>86</v>
      </c>
      <c r="G392" s="19" t="s">
        <v>94</v>
      </c>
      <c r="H392" s="19" t="s">
        <v>1273</v>
      </c>
      <c r="I392" s="19" t="s">
        <v>1274</v>
      </c>
      <c r="J392" s="2" t="s">
        <v>2</v>
      </c>
      <c r="K392" s="20">
        <v>45943.125</v>
      </c>
      <c r="L392" s="20">
        <v>45943.125</v>
      </c>
      <c r="M392" s="22">
        <v>0</v>
      </c>
      <c r="N392" s="21">
        <v>300000</v>
      </c>
      <c r="O392" s="2" t="s">
        <v>76</v>
      </c>
      <c r="P392" s="2" t="s">
        <v>4</v>
      </c>
      <c r="Q392" s="2" t="s">
        <v>5</v>
      </c>
      <c r="R392" s="21">
        <f t="shared" si="54"/>
        <v>300000</v>
      </c>
      <c r="S392" s="21">
        <v>300000</v>
      </c>
      <c r="T392" s="5">
        <f t="shared" si="55"/>
        <v>187500</v>
      </c>
      <c r="U392">
        <f t="shared" si="56"/>
        <v>10</v>
      </c>
      <c r="V392">
        <f t="shared" si="57"/>
        <v>10</v>
      </c>
      <c r="W392" s="5">
        <f t="shared" si="58"/>
        <v>0</v>
      </c>
      <c r="X392" s="2" t="s">
        <v>6</v>
      </c>
      <c r="Y392" s="2" t="s">
        <v>2</v>
      </c>
      <c r="Z392">
        <v>901</v>
      </c>
      <c r="AC392">
        <f t="shared" si="59"/>
        <v>2025</v>
      </c>
      <c r="AD392">
        <f t="shared" si="60"/>
        <v>2025</v>
      </c>
      <c r="AE392">
        <f t="shared" si="61"/>
        <v>2025</v>
      </c>
      <c r="AF392">
        <f t="shared" si="62"/>
        <v>10</v>
      </c>
    </row>
    <row r="393" spans="1:32" x14ac:dyDescent="0.25">
      <c r="A393" s="59">
        <v>45944.125</v>
      </c>
      <c r="B393" s="2">
        <v>1379</v>
      </c>
      <c r="C393" s="19" t="s">
        <v>103</v>
      </c>
      <c r="D393" s="19" t="s">
        <v>2</v>
      </c>
      <c r="E393" s="19" t="s">
        <v>2</v>
      </c>
      <c r="F393" s="19" t="s">
        <v>86</v>
      </c>
      <c r="G393" s="19" t="s">
        <v>195</v>
      </c>
      <c r="H393" s="19" t="s">
        <v>597</v>
      </c>
      <c r="I393" s="19" t="s">
        <v>1275</v>
      </c>
      <c r="J393" s="2" t="s">
        <v>2</v>
      </c>
      <c r="K393" s="20">
        <v>45944.125</v>
      </c>
      <c r="L393" s="20"/>
      <c r="M393" s="22">
        <v>213</v>
      </c>
      <c r="N393" s="21">
        <v>310000</v>
      </c>
      <c r="O393" s="2" t="s">
        <v>3</v>
      </c>
      <c r="P393" s="2" t="s">
        <v>4</v>
      </c>
      <c r="Q393" s="2" t="s">
        <v>97</v>
      </c>
      <c r="R393" s="21">
        <f t="shared" si="54"/>
        <v>0</v>
      </c>
      <c r="S393" s="21">
        <v>0</v>
      </c>
      <c r="T393" s="5">
        <f t="shared" si="55"/>
        <v>187500</v>
      </c>
      <c r="U393">
        <f t="shared" si="56"/>
        <v>10</v>
      </c>
      <c r="V393">
        <f t="shared" si="57"/>
        <v>10</v>
      </c>
      <c r="W393" s="5">
        <f t="shared" si="58"/>
        <v>0</v>
      </c>
      <c r="X393" s="2" t="s">
        <v>6</v>
      </c>
      <c r="Y393" s="2" t="s">
        <v>2</v>
      </c>
      <c r="Z393">
        <v>903</v>
      </c>
      <c r="AC393">
        <f t="shared" si="59"/>
        <v>2025</v>
      </c>
      <c r="AD393">
        <f t="shared" si="60"/>
        <v>2025</v>
      </c>
      <c r="AE393" t="str">
        <f t="shared" si="61"/>
        <v/>
      </c>
      <c r="AF393" t="str">
        <f t="shared" si="62"/>
        <v/>
      </c>
    </row>
    <row r="394" spans="1:32" x14ac:dyDescent="0.25">
      <c r="A394" s="59">
        <v>45946.125</v>
      </c>
      <c r="B394" s="2">
        <v>1380</v>
      </c>
      <c r="C394" s="19" t="s">
        <v>1276</v>
      </c>
      <c r="D394" s="19" t="s">
        <v>2</v>
      </c>
      <c r="E394" s="19" t="s">
        <v>2</v>
      </c>
      <c r="F394" s="19" t="s">
        <v>1218</v>
      </c>
      <c r="G394" s="19" t="s">
        <v>585</v>
      </c>
      <c r="H394" s="19" t="s">
        <v>940</v>
      </c>
      <c r="I394" s="19" t="s">
        <v>1277</v>
      </c>
      <c r="J394" s="2" t="s">
        <v>2</v>
      </c>
      <c r="K394" s="20">
        <v>45946.125</v>
      </c>
      <c r="L394" s="20">
        <v>45946.125</v>
      </c>
      <c r="M394" s="22">
        <v>350</v>
      </c>
      <c r="N394" s="21">
        <v>520000</v>
      </c>
      <c r="O394" s="2" t="s">
        <v>76</v>
      </c>
      <c r="P394" s="2" t="s">
        <v>4</v>
      </c>
      <c r="Q394" s="2" t="s">
        <v>5</v>
      </c>
      <c r="R394" s="21">
        <f t="shared" si="54"/>
        <v>520000</v>
      </c>
      <c r="S394" s="21">
        <v>520000</v>
      </c>
      <c r="T394" s="5">
        <f t="shared" si="55"/>
        <v>187500</v>
      </c>
      <c r="U394">
        <f t="shared" si="56"/>
        <v>10</v>
      </c>
      <c r="V394">
        <f t="shared" si="57"/>
        <v>10</v>
      </c>
      <c r="W394" s="5">
        <f t="shared" si="58"/>
        <v>0</v>
      </c>
      <c r="X394" s="2" t="s">
        <v>6</v>
      </c>
      <c r="Y394" s="2" t="s">
        <v>2</v>
      </c>
      <c r="Z394">
        <v>906</v>
      </c>
      <c r="AA394" t="s">
        <v>1658</v>
      </c>
      <c r="AC394">
        <f t="shared" si="59"/>
        <v>2025</v>
      </c>
      <c r="AD394">
        <f t="shared" si="60"/>
        <v>2025</v>
      </c>
      <c r="AE394">
        <f t="shared" si="61"/>
        <v>2025</v>
      </c>
      <c r="AF394">
        <f t="shared" si="62"/>
        <v>10</v>
      </c>
    </row>
    <row r="395" spans="1:32" x14ac:dyDescent="0.25">
      <c r="A395" s="59">
        <v>45946.125</v>
      </c>
      <c r="B395" s="2">
        <v>1381</v>
      </c>
      <c r="C395" s="19" t="s">
        <v>535</v>
      </c>
      <c r="D395" s="19" t="s">
        <v>2</v>
      </c>
      <c r="E395" s="19" t="s">
        <v>2</v>
      </c>
      <c r="F395" s="19" t="s">
        <v>86</v>
      </c>
      <c r="G395" s="19" t="s">
        <v>195</v>
      </c>
      <c r="H395" s="19" t="s">
        <v>1278</v>
      </c>
      <c r="I395" s="19" t="s">
        <v>292</v>
      </c>
      <c r="J395" s="2" t="s">
        <v>2</v>
      </c>
      <c r="K395" s="20">
        <v>45946.125</v>
      </c>
      <c r="L395" s="20">
        <v>45946.125</v>
      </c>
      <c r="M395" s="22">
        <v>200</v>
      </c>
      <c r="N395" s="21">
        <v>285000</v>
      </c>
      <c r="O395" s="2" t="s">
        <v>76</v>
      </c>
      <c r="P395" s="2" t="s">
        <v>4</v>
      </c>
      <c r="Q395" s="2" t="s">
        <v>5</v>
      </c>
      <c r="R395" s="21">
        <f t="shared" si="54"/>
        <v>285000</v>
      </c>
      <c r="S395" s="21">
        <v>285000</v>
      </c>
      <c r="T395" s="5">
        <f t="shared" si="55"/>
        <v>187500</v>
      </c>
      <c r="U395">
        <f t="shared" si="56"/>
        <v>10</v>
      </c>
      <c r="V395">
        <f t="shared" si="57"/>
        <v>10</v>
      </c>
      <c r="W395" s="5">
        <f t="shared" si="58"/>
        <v>0</v>
      </c>
      <c r="X395" s="2" t="s">
        <v>6</v>
      </c>
      <c r="Y395" s="2" t="s">
        <v>2</v>
      </c>
      <c r="Z395">
        <v>905</v>
      </c>
      <c r="AC395">
        <f t="shared" si="59"/>
        <v>2025</v>
      </c>
      <c r="AD395">
        <f t="shared" si="60"/>
        <v>2025</v>
      </c>
      <c r="AE395">
        <f t="shared" si="61"/>
        <v>2025</v>
      </c>
      <c r="AF395">
        <f t="shared" si="62"/>
        <v>10</v>
      </c>
    </row>
    <row r="396" spans="1:32" x14ac:dyDescent="0.25">
      <c r="A396" s="59">
        <v>45946.125</v>
      </c>
      <c r="B396" s="2">
        <v>1382</v>
      </c>
      <c r="C396" s="19" t="s">
        <v>1279</v>
      </c>
      <c r="D396" s="19" t="s">
        <v>2</v>
      </c>
      <c r="E396" s="19" t="s">
        <v>2</v>
      </c>
      <c r="F396" s="19" t="s">
        <v>1015</v>
      </c>
      <c r="G396" s="19" t="s">
        <v>435</v>
      </c>
      <c r="H396" s="19" t="s">
        <v>1280</v>
      </c>
      <c r="I396" s="19" t="s">
        <v>1281</v>
      </c>
      <c r="J396" s="2" t="s">
        <v>2</v>
      </c>
      <c r="K396" s="20">
        <v>45946.125</v>
      </c>
      <c r="L396" s="20">
        <v>45946.125</v>
      </c>
      <c r="M396" s="22">
        <v>135</v>
      </c>
      <c r="N396" s="21">
        <v>196000</v>
      </c>
      <c r="O396" s="2" t="s">
        <v>76</v>
      </c>
      <c r="P396" s="2" t="s">
        <v>4</v>
      </c>
      <c r="Q396" s="2" t="s">
        <v>5</v>
      </c>
      <c r="R396" s="21">
        <f t="shared" si="54"/>
        <v>196000</v>
      </c>
      <c r="S396" s="21">
        <v>196000</v>
      </c>
      <c r="T396" s="5">
        <f t="shared" si="55"/>
        <v>187500</v>
      </c>
      <c r="U396">
        <f t="shared" si="56"/>
        <v>10</v>
      </c>
      <c r="V396">
        <f t="shared" si="57"/>
        <v>10</v>
      </c>
      <c r="W396" s="5">
        <f t="shared" si="58"/>
        <v>0</v>
      </c>
      <c r="X396" s="2" t="s">
        <v>6</v>
      </c>
      <c r="Y396" s="2" t="s">
        <v>2</v>
      </c>
      <c r="AC396">
        <f t="shared" si="59"/>
        <v>2025</v>
      </c>
      <c r="AD396">
        <f t="shared" si="60"/>
        <v>2025</v>
      </c>
      <c r="AE396">
        <f t="shared" si="61"/>
        <v>2025</v>
      </c>
      <c r="AF396">
        <f t="shared" si="62"/>
        <v>10</v>
      </c>
    </row>
    <row r="397" spans="1:32" x14ac:dyDescent="0.25">
      <c r="A397" s="59">
        <v>45950.125</v>
      </c>
      <c r="B397" s="2">
        <v>1383</v>
      </c>
      <c r="C397" s="19" t="s">
        <v>1282</v>
      </c>
      <c r="D397" s="19" t="s">
        <v>2</v>
      </c>
      <c r="E397" s="19" t="s">
        <v>2</v>
      </c>
      <c r="F397" s="19" t="s">
        <v>1283</v>
      </c>
      <c r="G397" s="19" t="s">
        <v>1284</v>
      </c>
      <c r="H397" s="19" t="s">
        <v>1285</v>
      </c>
      <c r="I397" s="19" t="s">
        <v>1286</v>
      </c>
      <c r="J397" s="2" t="s">
        <v>2</v>
      </c>
      <c r="K397" s="20">
        <v>45957.125</v>
      </c>
      <c r="L397" s="20">
        <v>45964.125</v>
      </c>
      <c r="M397" s="22">
        <v>210</v>
      </c>
      <c r="N397" s="21">
        <v>310000</v>
      </c>
      <c r="O397" s="2" t="s">
        <v>76</v>
      </c>
      <c r="P397" s="2" t="s">
        <v>4</v>
      </c>
      <c r="Q397" s="2" t="s">
        <v>5</v>
      </c>
      <c r="R397" s="21">
        <f t="shared" si="54"/>
        <v>310000</v>
      </c>
      <c r="S397" s="21">
        <v>310000</v>
      </c>
      <c r="T397" s="5">
        <f t="shared" si="55"/>
        <v>187500</v>
      </c>
      <c r="U397">
        <f t="shared" si="56"/>
        <v>10</v>
      </c>
      <c r="V397">
        <f t="shared" si="57"/>
        <v>10</v>
      </c>
      <c r="W397" s="5">
        <f t="shared" si="58"/>
        <v>0</v>
      </c>
      <c r="X397" s="2" t="s">
        <v>6</v>
      </c>
      <c r="Y397" s="2" t="s">
        <v>2</v>
      </c>
      <c r="Z397">
        <v>908</v>
      </c>
      <c r="AC397">
        <f t="shared" si="59"/>
        <v>2025</v>
      </c>
      <c r="AD397">
        <f t="shared" si="60"/>
        <v>2025</v>
      </c>
      <c r="AE397">
        <f t="shared" si="61"/>
        <v>2025</v>
      </c>
      <c r="AF397">
        <f t="shared" si="62"/>
        <v>11</v>
      </c>
    </row>
    <row r="398" spans="1:32" x14ac:dyDescent="0.25">
      <c r="A398" s="59">
        <v>45951.125</v>
      </c>
      <c r="B398" s="2">
        <v>1384</v>
      </c>
      <c r="C398" s="19" t="s">
        <v>753</v>
      </c>
      <c r="D398" s="19" t="s">
        <v>2</v>
      </c>
      <c r="E398" s="19" t="s">
        <v>2</v>
      </c>
      <c r="F398" s="19" t="s">
        <v>1287</v>
      </c>
      <c r="G398" s="19" t="s">
        <v>754</v>
      </c>
      <c r="H398" s="19" t="s">
        <v>755</v>
      </c>
      <c r="I398" s="19" t="s">
        <v>1288</v>
      </c>
      <c r="J398" s="2" t="s">
        <v>2</v>
      </c>
      <c r="K398" s="20">
        <v>45964.125</v>
      </c>
      <c r="L398" s="20">
        <v>45964.125</v>
      </c>
      <c r="M398" s="22">
        <v>104</v>
      </c>
      <c r="N398" s="21">
        <v>156000</v>
      </c>
      <c r="O398" s="2" t="s">
        <v>76</v>
      </c>
      <c r="P398" s="2" t="s">
        <v>4</v>
      </c>
      <c r="Q398" s="2" t="s">
        <v>5</v>
      </c>
      <c r="R398" s="21">
        <f t="shared" si="54"/>
        <v>156000</v>
      </c>
      <c r="S398" s="21">
        <v>156000</v>
      </c>
      <c r="T398" s="5">
        <f t="shared" si="55"/>
        <v>187500</v>
      </c>
      <c r="U398">
        <f t="shared" si="56"/>
        <v>11</v>
      </c>
      <c r="V398">
        <f t="shared" si="57"/>
        <v>10</v>
      </c>
      <c r="W398" s="5">
        <f t="shared" si="58"/>
        <v>0</v>
      </c>
      <c r="X398" s="2" t="s">
        <v>6</v>
      </c>
      <c r="Y398" s="2" t="s">
        <v>2</v>
      </c>
      <c r="Z398">
        <v>915</v>
      </c>
      <c r="AC398">
        <f t="shared" si="59"/>
        <v>2025</v>
      </c>
      <c r="AD398">
        <f t="shared" si="60"/>
        <v>2025</v>
      </c>
      <c r="AE398">
        <f t="shared" si="61"/>
        <v>2025</v>
      </c>
      <c r="AF398">
        <f t="shared" si="62"/>
        <v>11</v>
      </c>
    </row>
    <row r="399" spans="1:32" x14ac:dyDescent="0.25">
      <c r="A399" s="59">
        <v>45952.125</v>
      </c>
      <c r="B399" s="2">
        <v>1385</v>
      </c>
      <c r="C399" s="19" t="s">
        <v>1289</v>
      </c>
      <c r="D399" s="19" t="s">
        <v>2</v>
      </c>
      <c r="E399" s="19" t="s">
        <v>2</v>
      </c>
      <c r="F399" s="19" t="s">
        <v>1218</v>
      </c>
      <c r="G399" s="19" t="s">
        <v>456</v>
      </c>
      <c r="H399" s="19" t="s">
        <v>543</v>
      </c>
      <c r="I399" s="19" t="s">
        <v>1290</v>
      </c>
      <c r="J399" s="2" t="s">
        <v>2</v>
      </c>
      <c r="K399" s="20">
        <v>45971.125</v>
      </c>
      <c r="L399" s="20">
        <v>45964.125</v>
      </c>
      <c r="M399" s="22">
        <v>480</v>
      </c>
      <c r="N399" s="21">
        <v>720000</v>
      </c>
      <c r="O399" s="2" t="s">
        <v>76</v>
      </c>
      <c r="P399" s="2" t="s">
        <v>4</v>
      </c>
      <c r="Q399" s="2" t="s">
        <v>5</v>
      </c>
      <c r="R399" s="21">
        <f t="shared" si="54"/>
        <v>720000</v>
      </c>
      <c r="S399" s="21">
        <v>720000</v>
      </c>
      <c r="T399" s="5">
        <f t="shared" si="55"/>
        <v>187500</v>
      </c>
      <c r="U399">
        <f t="shared" si="56"/>
        <v>11</v>
      </c>
      <c r="V399">
        <f t="shared" si="57"/>
        <v>10</v>
      </c>
      <c r="W399" s="5">
        <f t="shared" si="58"/>
        <v>0</v>
      </c>
      <c r="X399" s="2" t="s">
        <v>6</v>
      </c>
      <c r="Y399" s="2" t="s">
        <v>2</v>
      </c>
      <c r="Z399">
        <v>919</v>
      </c>
      <c r="AA399" t="s">
        <v>1659</v>
      </c>
      <c r="AC399">
        <f t="shared" si="59"/>
        <v>2025</v>
      </c>
      <c r="AD399">
        <f t="shared" si="60"/>
        <v>2025</v>
      </c>
      <c r="AE399">
        <f t="shared" si="61"/>
        <v>2025</v>
      </c>
      <c r="AF399">
        <f t="shared" si="62"/>
        <v>11</v>
      </c>
    </row>
    <row r="400" spans="1:32" x14ac:dyDescent="0.25">
      <c r="A400" s="59">
        <v>45954.125</v>
      </c>
      <c r="B400" s="2">
        <v>1386</v>
      </c>
      <c r="C400" s="19" t="s">
        <v>135</v>
      </c>
      <c r="D400" s="19" t="s">
        <v>2</v>
      </c>
      <c r="E400" s="19" t="s">
        <v>2</v>
      </c>
      <c r="F400" s="19" t="s">
        <v>1143</v>
      </c>
      <c r="G400" s="19" t="s">
        <v>137</v>
      </c>
      <c r="H400" s="19" t="s">
        <v>982</v>
      </c>
      <c r="I400" s="19" t="s">
        <v>1291</v>
      </c>
      <c r="J400" s="2" t="s">
        <v>2</v>
      </c>
      <c r="K400" s="20">
        <v>45954.125</v>
      </c>
      <c r="L400" s="20">
        <v>45954.125</v>
      </c>
      <c r="M400" s="22">
        <v>0</v>
      </c>
      <c r="N400" s="21">
        <v>0</v>
      </c>
      <c r="O400" s="2" t="s">
        <v>3</v>
      </c>
      <c r="P400" s="2" t="s">
        <v>306</v>
      </c>
      <c r="Q400" s="2" t="s">
        <v>5</v>
      </c>
      <c r="R400" s="21">
        <f t="shared" si="54"/>
        <v>0</v>
      </c>
      <c r="S400" s="21">
        <v>0</v>
      </c>
      <c r="T400" s="5">
        <f t="shared" si="55"/>
        <v>187500</v>
      </c>
      <c r="U400">
        <f t="shared" si="56"/>
        <v>10</v>
      </c>
      <c r="V400">
        <f t="shared" si="57"/>
        <v>10</v>
      </c>
      <c r="W400" s="5">
        <f t="shared" si="58"/>
        <v>0</v>
      </c>
      <c r="X400" s="2" t="s">
        <v>6</v>
      </c>
      <c r="Y400" s="2" t="s">
        <v>2</v>
      </c>
      <c r="AC400">
        <f t="shared" si="59"/>
        <v>2025</v>
      </c>
      <c r="AD400">
        <f t="shared" si="60"/>
        <v>2025</v>
      </c>
      <c r="AE400">
        <f t="shared" si="61"/>
        <v>2025</v>
      </c>
      <c r="AF400">
        <f t="shared" si="62"/>
        <v>10</v>
      </c>
    </row>
    <row r="401" spans="1:32" x14ac:dyDescent="0.25">
      <c r="A401" s="59">
        <v>45957.125</v>
      </c>
      <c r="B401" s="2">
        <v>1387</v>
      </c>
      <c r="C401" s="19" t="s">
        <v>135</v>
      </c>
      <c r="D401" s="19" t="s">
        <v>2</v>
      </c>
      <c r="E401" s="19" t="s">
        <v>2</v>
      </c>
      <c r="F401" s="19" t="s">
        <v>1292</v>
      </c>
      <c r="G401" s="19" t="s">
        <v>1293</v>
      </c>
      <c r="H401" s="19" t="s">
        <v>1294</v>
      </c>
      <c r="I401" s="19" t="s">
        <v>1295</v>
      </c>
      <c r="J401" s="2" t="s">
        <v>2</v>
      </c>
      <c r="K401" s="20">
        <v>45964.125</v>
      </c>
      <c r="L401" s="20">
        <v>45964.125</v>
      </c>
      <c r="M401" s="22">
        <v>72</v>
      </c>
      <c r="N401" s="21">
        <v>120000</v>
      </c>
      <c r="O401" s="2" t="s">
        <v>76</v>
      </c>
      <c r="P401" s="2" t="s">
        <v>4</v>
      </c>
      <c r="Q401" s="2" t="s">
        <v>5</v>
      </c>
      <c r="R401" s="21">
        <f t="shared" si="54"/>
        <v>120000</v>
      </c>
      <c r="S401" s="21">
        <v>120000</v>
      </c>
      <c r="T401" s="5">
        <f t="shared" si="55"/>
        <v>187500</v>
      </c>
      <c r="U401">
        <f t="shared" si="56"/>
        <v>11</v>
      </c>
      <c r="V401">
        <f t="shared" si="57"/>
        <v>10</v>
      </c>
      <c r="W401" s="5">
        <f t="shared" si="58"/>
        <v>0</v>
      </c>
      <c r="X401" s="2" t="s">
        <v>6</v>
      </c>
      <c r="Y401" s="2" t="s">
        <v>2</v>
      </c>
      <c r="Z401">
        <v>914</v>
      </c>
      <c r="AC401">
        <f t="shared" si="59"/>
        <v>2025</v>
      </c>
      <c r="AD401">
        <f t="shared" si="60"/>
        <v>2025</v>
      </c>
      <c r="AE401">
        <f t="shared" si="61"/>
        <v>2025</v>
      </c>
      <c r="AF401">
        <f t="shared" si="62"/>
        <v>11</v>
      </c>
    </row>
    <row r="402" spans="1:32" x14ac:dyDescent="0.25">
      <c r="A402" s="59">
        <v>45958.125</v>
      </c>
      <c r="B402" s="2">
        <v>1388</v>
      </c>
      <c r="C402" s="19" t="s">
        <v>0</v>
      </c>
      <c r="D402" s="19" t="s">
        <v>111</v>
      </c>
      <c r="E402" s="19" t="s">
        <v>810</v>
      </c>
      <c r="F402" s="19" t="s">
        <v>875</v>
      </c>
      <c r="G402" s="19" t="s">
        <v>876</v>
      </c>
      <c r="H402" s="19" t="s">
        <v>877</v>
      </c>
      <c r="I402" s="19" t="s">
        <v>878</v>
      </c>
      <c r="J402" s="2" t="s">
        <v>1306</v>
      </c>
      <c r="K402" s="20">
        <v>45967.125</v>
      </c>
      <c r="L402" s="20">
        <v>45964.125</v>
      </c>
      <c r="M402" s="22">
        <v>406</v>
      </c>
      <c r="N402" s="21">
        <v>610000</v>
      </c>
      <c r="O402" s="2" t="s">
        <v>76</v>
      </c>
      <c r="P402" s="2" t="s">
        <v>4</v>
      </c>
      <c r="Q402" s="2" t="s">
        <v>5</v>
      </c>
      <c r="R402" s="21">
        <f t="shared" si="54"/>
        <v>610000</v>
      </c>
      <c r="S402" s="21">
        <v>610000</v>
      </c>
      <c r="T402" s="5">
        <f t="shared" si="55"/>
        <v>187500</v>
      </c>
      <c r="U402">
        <f t="shared" si="56"/>
        <v>11</v>
      </c>
      <c r="V402">
        <f t="shared" si="57"/>
        <v>10</v>
      </c>
      <c r="W402" s="5">
        <f t="shared" si="58"/>
        <v>0</v>
      </c>
      <c r="X402" s="2" t="s">
        <v>6</v>
      </c>
      <c r="Y402" s="2" t="s">
        <v>2</v>
      </c>
      <c r="AA402" t="s">
        <v>1660</v>
      </c>
      <c r="AC402">
        <f t="shared" si="59"/>
        <v>2025</v>
      </c>
      <c r="AD402">
        <f t="shared" si="60"/>
        <v>2025</v>
      </c>
      <c r="AE402">
        <f t="shared" si="61"/>
        <v>2025</v>
      </c>
      <c r="AF402">
        <f t="shared" si="62"/>
        <v>11</v>
      </c>
    </row>
    <row r="403" spans="1:32" x14ac:dyDescent="0.25">
      <c r="A403" s="59">
        <v>45959.125</v>
      </c>
      <c r="B403" s="2">
        <v>1389</v>
      </c>
      <c r="C403" s="19" t="s">
        <v>218</v>
      </c>
      <c r="D403" s="19" t="s">
        <v>2</v>
      </c>
      <c r="E403" s="19" t="s">
        <v>2</v>
      </c>
      <c r="F403" s="19" t="s">
        <v>1296</v>
      </c>
      <c r="G403" s="19" t="s">
        <v>1297</v>
      </c>
      <c r="H403" s="19" t="s">
        <v>1298</v>
      </c>
      <c r="I403" s="19" t="s">
        <v>1299</v>
      </c>
      <c r="J403" s="2" t="s">
        <v>2</v>
      </c>
      <c r="K403" s="20">
        <v>45964.125</v>
      </c>
      <c r="L403" s="20">
        <v>45964.125</v>
      </c>
      <c r="M403" s="22">
        <v>53</v>
      </c>
      <c r="N403" s="21">
        <v>80000</v>
      </c>
      <c r="O403" s="2" t="s">
        <v>76</v>
      </c>
      <c r="P403" s="2" t="s">
        <v>4</v>
      </c>
      <c r="Q403" s="2" t="s">
        <v>5</v>
      </c>
      <c r="R403" s="21">
        <f t="shared" si="54"/>
        <v>80000</v>
      </c>
      <c r="S403" s="21">
        <v>80000</v>
      </c>
      <c r="T403" s="5">
        <f t="shared" si="55"/>
        <v>187500</v>
      </c>
      <c r="U403">
        <f t="shared" si="56"/>
        <v>11</v>
      </c>
      <c r="V403">
        <f t="shared" si="57"/>
        <v>10</v>
      </c>
      <c r="W403" s="5">
        <f t="shared" si="58"/>
        <v>0</v>
      </c>
      <c r="X403" s="2" t="s">
        <v>6</v>
      </c>
      <c r="Y403" s="2" t="s">
        <v>2</v>
      </c>
      <c r="Z403">
        <v>911</v>
      </c>
      <c r="AA403" t="s">
        <v>1661</v>
      </c>
      <c r="AC403">
        <f t="shared" si="59"/>
        <v>2025</v>
      </c>
      <c r="AD403">
        <f t="shared" si="60"/>
        <v>2025</v>
      </c>
      <c r="AE403">
        <f t="shared" si="61"/>
        <v>2025</v>
      </c>
      <c r="AF403">
        <f t="shared" si="62"/>
        <v>11</v>
      </c>
    </row>
    <row r="404" spans="1:32" x14ac:dyDescent="0.25">
      <c r="A404" s="59">
        <v>45959.125</v>
      </c>
      <c r="B404" s="2">
        <v>1390</v>
      </c>
      <c r="C404" s="19" t="s">
        <v>263</v>
      </c>
      <c r="D404" s="19" t="s">
        <v>2</v>
      </c>
      <c r="E404" s="19" t="s">
        <v>2</v>
      </c>
      <c r="F404" s="19" t="s">
        <v>106</v>
      </c>
      <c r="G404" s="19" t="s">
        <v>107</v>
      </c>
      <c r="H404" s="19" t="s">
        <v>257</v>
      </c>
      <c r="I404" s="19" t="s">
        <v>258</v>
      </c>
      <c r="J404" s="2" t="s">
        <v>2</v>
      </c>
      <c r="K404" s="20">
        <v>45959.125</v>
      </c>
      <c r="L404" s="20">
        <v>45964.125</v>
      </c>
      <c r="M404" s="22">
        <v>220</v>
      </c>
      <c r="N404" s="21">
        <v>328000</v>
      </c>
      <c r="O404" s="2" t="s">
        <v>76</v>
      </c>
      <c r="P404" s="2" t="s">
        <v>4</v>
      </c>
      <c r="Q404" s="2" t="s">
        <v>5</v>
      </c>
      <c r="R404" s="21">
        <f t="shared" si="54"/>
        <v>328000</v>
      </c>
      <c r="S404" s="21">
        <v>328000</v>
      </c>
      <c r="T404" s="5">
        <f t="shared" si="55"/>
        <v>187500</v>
      </c>
      <c r="U404">
        <f t="shared" si="56"/>
        <v>10</v>
      </c>
      <c r="V404">
        <f t="shared" si="57"/>
        <v>10</v>
      </c>
      <c r="W404" s="5">
        <f t="shared" si="58"/>
        <v>0</v>
      </c>
      <c r="X404" s="2" t="s">
        <v>6</v>
      </c>
      <c r="Y404" s="2" t="s">
        <v>2</v>
      </c>
      <c r="Z404">
        <v>910</v>
      </c>
      <c r="AC404">
        <f t="shared" si="59"/>
        <v>2025</v>
      </c>
      <c r="AD404">
        <f t="shared" si="60"/>
        <v>2025</v>
      </c>
      <c r="AE404">
        <f t="shared" si="61"/>
        <v>2025</v>
      </c>
      <c r="AF404">
        <f t="shared" si="62"/>
        <v>11</v>
      </c>
    </row>
    <row r="405" spans="1:32" x14ac:dyDescent="0.25">
      <c r="A405" s="59">
        <v>45959.125</v>
      </c>
      <c r="B405" s="2">
        <v>1391</v>
      </c>
      <c r="C405" s="19" t="s">
        <v>218</v>
      </c>
      <c r="D405" s="19" t="s">
        <v>2</v>
      </c>
      <c r="E405" s="19" t="s">
        <v>2</v>
      </c>
      <c r="F405" s="19" t="s">
        <v>1300</v>
      </c>
      <c r="G405" s="19" t="s">
        <v>1301</v>
      </c>
      <c r="H405" s="19" t="s">
        <v>1302</v>
      </c>
      <c r="I405" s="19" t="s">
        <v>1303</v>
      </c>
      <c r="J405" s="2" t="s">
        <v>2</v>
      </c>
      <c r="K405" s="20">
        <v>45959.125</v>
      </c>
      <c r="L405" s="20">
        <v>45964.125</v>
      </c>
      <c r="M405" s="22">
        <v>50</v>
      </c>
      <c r="N405" s="21">
        <v>75000</v>
      </c>
      <c r="O405" s="2" t="s">
        <v>76</v>
      </c>
      <c r="P405" s="2" t="s">
        <v>4</v>
      </c>
      <c r="Q405" s="2" t="s">
        <v>5</v>
      </c>
      <c r="R405" s="21">
        <f t="shared" si="54"/>
        <v>75000</v>
      </c>
      <c r="S405" s="21">
        <v>75000</v>
      </c>
      <c r="T405" s="5">
        <f t="shared" si="55"/>
        <v>187500</v>
      </c>
      <c r="U405">
        <f t="shared" si="56"/>
        <v>10</v>
      </c>
      <c r="V405">
        <f t="shared" si="57"/>
        <v>10</v>
      </c>
      <c r="W405" s="5">
        <f t="shared" si="58"/>
        <v>0</v>
      </c>
      <c r="X405" s="2" t="s">
        <v>6</v>
      </c>
      <c r="Y405" s="2" t="s">
        <v>2</v>
      </c>
      <c r="Z405">
        <v>909</v>
      </c>
      <c r="AA405" t="s">
        <v>1662</v>
      </c>
      <c r="AC405">
        <f t="shared" si="59"/>
        <v>2025</v>
      </c>
      <c r="AD405">
        <f t="shared" si="60"/>
        <v>2025</v>
      </c>
      <c r="AE405">
        <f t="shared" si="61"/>
        <v>2025</v>
      </c>
      <c r="AF405">
        <f t="shared" si="62"/>
        <v>11</v>
      </c>
    </row>
    <row r="406" spans="1:32" x14ac:dyDescent="0.25">
      <c r="A406" s="59">
        <v>45961.125</v>
      </c>
      <c r="B406" s="2">
        <v>1392</v>
      </c>
      <c r="C406" s="19" t="s">
        <v>1</v>
      </c>
      <c r="D406" s="19" t="s">
        <v>2</v>
      </c>
      <c r="E406" s="19" t="s">
        <v>1307</v>
      </c>
      <c r="F406" s="19" t="s">
        <v>136</v>
      </c>
      <c r="G406" s="19" t="s">
        <v>137</v>
      </c>
      <c r="H406" s="19" t="s">
        <v>138</v>
      </c>
      <c r="I406" s="19" t="s">
        <v>1308</v>
      </c>
      <c r="J406" s="2" t="s">
        <v>2</v>
      </c>
      <c r="K406" s="20">
        <v>45961.125</v>
      </c>
      <c r="L406" s="20">
        <v>45964.125</v>
      </c>
      <c r="M406" s="22">
        <v>135</v>
      </c>
      <c r="N406" s="21">
        <v>198000</v>
      </c>
      <c r="O406" s="2" t="s">
        <v>76</v>
      </c>
      <c r="P406" s="2" t="s">
        <v>4</v>
      </c>
      <c r="Q406" s="2" t="s">
        <v>5</v>
      </c>
      <c r="R406" s="21">
        <f t="shared" si="54"/>
        <v>198000</v>
      </c>
      <c r="S406" s="21">
        <v>198000</v>
      </c>
      <c r="T406" s="5">
        <f t="shared" si="55"/>
        <v>187500</v>
      </c>
      <c r="U406">
        <f t="shared" si="56"/>
        <v>10</v>
      </c>
      <c r="V406">
        <f t="shared" si="57"/>
        <v>10</v>
      </c>
      <c r="W406" s="5">
        <f t="shared" si="58"/>
        <v>0</v>
      </c>
      <c r="X406" s="2" t="s">
        <v>6</v>
      </c>
      <c r="Y406" s="2" t="s">
        <v>2</v>
      </c>
      <c r="Z406">
        <v>913</v>
      </c>
      <c r="AA406" t="s">
        <v>1663</v>
      </c>
      <c r="AC406">
        <f t="shared" si="59"/>
        <v>2025</v>
      </c>
      <c r="AD406">
        <f t="shared" si="60"/>
        <v>2025</v>
      </c>
      <c r="AE406">
        <f t="shared" si="61"/>
        <v>2025</v>
      </c>
      <c r="AF406">
        <f t="shared" si="62"/>
        <v>11</v>
      </c>
    </row>
    <row r="407" spans="1:32" x14ac:dyDescent="0.25">
      <c r="A407" s="59">
        <v>45961.125</v>
      </c>
      <c r="B407" s="2">
        <v>1393</v>
      </c>
      <c r="C407" s="19" t="s">
        <v>599</v>
      </c>
      <c r="D407" s="19" t="s">
        <v>2</v>
      </c>
      <c r="E407" s="19" t="s">
        <v>2</v>
      </c>
      <c r="F407" s="19" t="s">
        <v>1309</v>
      </c>
      <c r="G407" s="19" t="s">
        <v>456</v>
      </c>
      <c r="H407" s="19" t="s">
        <v>1310</v>
      </c>
      <c r="I407" s="19" t="s">
        <v>1311</v>
      </c>
      <c r="J407" s="2" t="s">
        <v>2</v>
      </c>
      <c r="K407" s="20">
        <v>45968.125</v>
      </c>
      <c r="L407" s="20">
        <v>45964.125</v>
      </c>
      <c r="M407" s="22">
        <v>280</v>
      </c>
      <c r="N407" s="21">
        <v>410000</v>
      </c>
      <c r="O407" s="2" t="s">
        <v>76</v>
      </c>
      <c r="P407" s="2" t="s">
        <v>4</v>
      </c>
      <c r="Q407" s="2" t="s">
        <v>5</v>
      </c>
      <c r="R407" s="21">
        <f t="shared" si="54"/>
        <v>410000</v>
      </c>
      <c r="S407" s="21">
        <v>410000</v>
      </c>
      <c r="T407" s="5">
        <f t="shared" si="55"/>
        <v>187500</v>
      </c>
      <c r="U407">
        <f t="shared" si="56"/>
        <v>11</v>
      </c>
      <c r="V407">
        <f t="shared" si="57"/>
        <v>10</v>
      </c>
      <c r="W407" s="5">
        <f t="shared" si="58"/>
        <v>0</v>
      </c>
      <c r="X407" s="2" t="s">
        <v>6</v>
      </c>
      <c r="Y407" s="2" t="s">
        <v>2</v>
      </c>
      <c r="Z407">
        <v>918</v>
      </c>
      <c r="AA407" t="s">
        <v>1664</v>
      </c>
      <c r="AC407">
        <f t="shared" si="59"/>
        <v>2025</v>
      </c>
      <c r="AD407">
        <f t="shared" si="60"/>
        <v>2025</v>
      </c>
      <c r="AE407">
        <f t="shared" si="61"/>
        <v>2025</v>
      </c>
      <c r="AF407">
        <f t="shared" si="62"/>
        <v>11</v>
      </c>
    </row>
    <row r="408" spans="1:32" x14ac:dyDescent="0.25">
      <c r="A408" s="59">
        <v>45961.125</v>
      </c>
      <c r="B408" s="2">
        <v>1394</v>
      </c>
      <c r="C408" s="19" t="s">
        <v>1312</v>
      </c>
      <c r="D408" s="19" t="s">
        <v>2</v>
      </c>
      <c r="E408" s="19" t="s">
        <v>2</v>
      </c>
      <c r="F408" s="19" t="s">
        <v>1313</v>
      </c>
      <c r="G408" s="19" t="s">
        <v>1314</v>
      </c>
      <c r="H408" s="19" t="s">
        <v>1315</v>
      </c>
      <c r="I408" s="19" t="s">
        <v>1316</v>
      </c>
      <c r="J408" s="2" t="s">
        <v>2</v>
      </c>
      <c r="K408" s="20">
        <v>45968.125</v>
      </c>
      <c r="L408" s="20">
        <v>45967.125</v>
      </c>
      <c r="M408" s="22">
        <v>120</v>
      </c>
      <c r="N408" s="21">
        <v>177000</v>
      </c>
      <c r="O408" s="2" t="s">
        <v>76</v>
      </c>
      <c r="P408" s="2" t="s">
        <v>4</v>
      </c>
      <c r="Q408" s="2" t="s">
        <v>5</v>
      </c>
      <c r="R408" s="21">
        <f t="shared" si="54"/>
        <v>177000</v>
      </c>
      <c r="S408" s="21">
        <v>177000</v>
      </c>
      <c r="T408" s="5">
        <f t="shared" si="55"/>
        <v>187500</v>
      </c>
      <c r="U408">
        <f t="shared" si="56"/>
        <v>11</v>
      </c>
      <c r="V408">
        <f t="shared" si="57"/>
        <v>10</v>
      </c>
      <c r="W408" s="5">
        <f t="shared" si="58"/>
        <v>0</v>
      </c>
      <c r="X408" s="2" t="s">
        <v>6</v>
      </c>
      <c r="Y408" s="2" t="s">
        <v>2</v>
      </c>
      <c r="Z408">
        <v>917</v>
      </c>
      <c r="AC408">
        <f t="shared" si="59"/>
        <v>2025</v>
      </c>
      <c r="AD408">
        <f t="shared" si="60"/>
        <v>2025</v>
      </c>
      <c r="AE408">
        <f t="shared" si="61"/>
        <v>2025</v>
      </c>
      <c r="AF408">
        <f t="shared" si="62"/>
        <v>11</v>
      </c>
    </row>
    <row r="409" spans="1:32" x14ac:dyDescent="0.25">
      <c r="A409" s="59">
        <v>45967.125</v>
      </c>
      <c r="B409" s="2">
        <v>1395</v>
      </c>
      <c r="C409" s="19" t="s">
        <v>648</v>
      </c>
      <c r="D409" s="19" t="s">
        <v>2</v>
      </c>
      <c r="E409" s="19" t="s">
        <v>2</v>
      </c>
      <c r="F409" s="19" t="s">
        <v>86</v>
      </c>
      <c r="G409" s="19" t="s">
        <v>94</v>
      </c>
      <c r="H409" s="19" t="s">
        <v>321</v>
      </c>
      <c r="I409" s="19" t="s">
        <v>1317</v>
      </c>
      <c r="J409" s="2" t="s">
        <v>2</v>
      </c>
      <c r="K409" s="20">
        <v>45967.125</v>
      </c>
      <c r="L409" s="20">
        <v>45967.125</v>
      </c>
      <c r="M409" s="22">
        <v>165</v>
      </c>
      <c r="N409" s="21">
        <v>243000</v>
      </c>
      <c r="O409" s="2" t="s">
        <v>76</v>
      </c>
      <c r="P409" s="2" t="s">
        <v>4</v>
      </c>
      <c r="Q409" s="2" t="s">
        <v>5</v>
      </c>
      <c r="R409" s="21">
        <f t="shared" si="54"/>
        <v>243000</v>
      </c>
      <c r="S409" s="21">
        <v>243000</v>
      </c>
      <c r="T409" s="5">
        <f t="shared" si="55"/>
        <v>187500</v>
      </c>
      <c r="U409">
        <f t="shared" si="56"/>
        <v>11</v>
      </c>
      <c r="V409">
        <f t="shared" si="57"/>
        <v>11</v>
      </c>
      <c r="W409" s="5">
        <f t="shared" si="58"/>
        <v>0</v>
      </c>
      <c r="X409" s="2" t="s">
        <v>6</v>
      </c>
      <c r="Y409" s="2" t="s">
        <v>2</v>
      </c>
      <c r="Z409">
        <v>916</v>
      </c>
      <c r="AA409" t="s">
        <v>1665</v>
      </c>
      <c r="AC409">
        <f t="shared" si="59"/>
        <v>2025</v>
      </c>
      <c r="AD409">
        <f t="shared" si="60"/>
        <v>2025</v>
      </c>
      <c r="AE409">
        <f t="shared" si="61"/>
        <v>2025</v>
      </c>
      <c r="AF409">
        <f t="shared" si="62"/>
        <v>11</v>
      </c>
    </row>
    <row r="410" spans="1:32" x14ac:dyDescent="0.25">
      <c r="A410" s="59">
        <v>45974.125</v>
      </c>
      <c r="B410" s="2">
        <v>1396</v>
      </c>
      <c r="C410" s="19" t="s">
        <v>1</v>
      </c>
      <c r="D410" s="19" t="s">
        <v>2</v>
      </c>
      <c r="E410" s="19" t="s">
        <v>2</v>
      </c>
      <c r="F410" s="19" t="s">
        <v>136</v>
      </c>
      <c r="G410" s="19" t="s">
        <v>137</v>
      </c>
      <c r="H410" s="19" t="s">
        <v>138</v>
      </c>
      <c r="I410" s="19" t="s">
        <v>1318</v>
      </c>
      <c r="J410" s="2" t="s">
        <v>2</v>
      </c>
      <c r="K410" s="20">
        <v>45974.125</v>
      </c>
      <c r="L410" s="20"/>
      <c r="M410" s="22">
        <v>235</v>
      </c>
      <c r="N410" s="21">
        <v>337000</v>
      </c>
      <c r="O410" s="2" t="s">
        <v>3</v>
      </c>
      <c r="P410" s="2" t="s">
        <v>128</v>
      </c>
      <c r="Q410" s="2" t="s">
        <v>97</v>
      </c>
      <c r="R410" s="21">
        <f t="shared" si="54"/>
        <v>0</v>
      </c>
      <c r="S410" s="21">
        <v>0</v>
      </c>
      <c r="T410" s="5">
        <f t="shared" si="55"/>
        <v>187500</v>
      </c>
      <c r="U410">
        <f t="shared" si="56"/>
        <v>11</v>
      </c>
      <c r="V410">
        <f t="shared" si="57"/>
        <v>11</v>
      </c>
      <c r="W410" s="5">
        <f t="shared" si="58"/>
        <v>0</v>
      </c>
      <c r="X410" s="2" t="s">
        <v>6</v>
      </c>
      <c r="Y410" s="2" t="s">
        <v>2</v>
      </c>
      <c r="AC410">
        <f t="shared" si="59"/>
        <v>2025</v>
      </c>
      <c r="AD410">
        <f t="shared" si="60"/>
        <v>2025</v>
      </c>
      <c r="AE410" t="str">
        <f t="shared" si="61"/>
        <v/>
      </c>
      <c r="AF410" t="str">
        <f t="shared" si="62"/>
        <v/>
      </c>
    </row>
    <row r="411" spans="1:32" x14ac:dyDescent="0.25">
      <c r="A411" s="59">
        <v>45978.125</v>
      </c>
      <c r="B411" s="2">
        <v>1397</v>
      </c>
      <c r="C411" s="19" t="s">
        <v>1319</v>
      </c>
      <c r="D411" s="19" t="s">
        <v>2</v>
      </c>
      <c r="E411" s="19" t="s">
        <v>2</v>
      </c>
      <c r="F411" s="19" t="s">
        <v>1320</v>
      </c>
      <c r="G411" s="19" t="s">
        <v>195</v>
      </c>
      <c r="H411" s="19" t="s">
        <v>1321</v>
      </c>
      <c r="I411" s="19" t="s">
        <v>1322</v>
      </c>
      <c r="J411" s="2" t="s">
        <v>2</v>
      </c>
      <c r="K411" s="20">
        <v>45982.125</v>
      </c>
      <c r="L411" s="20">
        <v>45981.125</v>
      </c>
      <c r="M411" s="22">
        <v>555</v>
      </c>
      <c r="N411" s="21">
        <v>792000</v>
      </c>
      <c r="O411" s="2" t="s">
        <v>76</v>
      </c>
      <c r="P411" s="2" t="s">
        <v>4</v>
      </c>
      <c r="Q411" s="2" t="s">
        <v>5</v>
      </c>
      <c r="R411" s="21">
        <f t="shared" si="54"/>
        <v>792000</v>
      </c>
      <c r="S411" s="21">
        <v>792000</v>
      </c>
      <c r="T411" s="5">
        <f t="shared" si="55"/>
        <v>187500</v>
      </c>
      <c r="U411">
        <f t="shared" si="56"/>
        <v>11</v>
      </c>
      <c r="V411">
        <f t="shared" si="57"/>
        <v>11</v>
      </c>
      <c r="W411" s="5">
        <f t="shared" si="58"/>
        <v>0</v>
      </c>
      <c r="X411" s="2" t="s">
        <v>6</v>
      </c>
      <c r="Y411" s="2" t="s">
        <v>2</v>
      </c>
      <c r="AA411" t="s">
        <v>1666</v>
      </c>
      <c r="AC411">
        <f t="shared" si="59"/>
        <v>2025</v>
      </c>
      <c r="AD411">
        <f t="shared" si="60"/>
        <v>2025</v>
      </c>
      <c r="AE411">
        <f t="shared" si="61"/>
        <v>2025</v>
      </c>
      <c r="AF411">
        <f t="shared" si="62"/>
        <v>11</v>
      </c>
    </row>
    <row r="412" spans="1:32" x14ac:dyDescent="0.25">
      <c r="A412" s="59">
        <v>45979.125</v>
      </c>
      <c r="B412" s="2">
        <v>1398</v>
      </c>
      <c r="C412" s="19" t="s">
        <v>1323</v>
      </c>
      <c r="D412" s="19" t="s">
        <v>2</v>
      </c>
      <c r="E412" s="19" t="s">
        <v>2</v>
      </c>
      <c r="F412" s="19" t="s">
        <v>1324</v>
      </c>
      <c r="G412" s="19" t="s">
        <v>1325</v>
      </c>
      <c r="H412" s="19" t="s">
        <v>1326</v>
      </c>
      <c r="I412" s="19" t="s">
        <v>1327</v>
      </c>
      <c r="J412" s="2" t="s">
        <v>2</v>
      </c>
      <c r="K412" s="20">
        <v>45986.125</v>
      </c>
      <c r="L412" s="20">
        <v>45986.125</v>
      </c>
      <c r="M412" s="22">
        <v>315</v>
      </c>
      <c r="N412" s="21">
        <v>448000</v>
      </c>
      <c r="O412" s="2" t="s">
        <v>76</v>
      </c>
      <c r="P412" s="2" t="s">
        <v>145</v>
      </c>
      <c r="Q412" s="2" t="s">
        <v>146</v>
      </c>
      <c r="R412" s="21">
        <f t="shared" si="54"/>
        <v>0</v>
      </c>
      <c r="S412" s="21">
        <v>0</v>
      </c>
      <c r="T412" s="5">
        <f t="shared" si="55"/>
        <v>187500</v>
      </c>
      <c r="U412">
        <f t="shared" si="56"/>
        <v>11</v>
      </c>
      <c r="V412">
        <f t="shared" si="57"/>
        <v>11</v>
      </c>
      <c r="W412" s="5">
        <f t="shared" si="58"/>
        <v>0</v>
      </c>
      <c r="X412" s="2" t="s">
        <v>6</v>
      </c>
      <c r="Y412" s="2" t="s">
        <v>2</v>
      </c>
      <c r="AC412">
        <f t="shared" si="59"/>
        <v>2025</v>
      </c>
      <c r="AD412">
        <f t="shared" si="60"/>
        <v>2025</v>
      </c>
      <c r="AE412">
        <f t="shared" si="61"/>
        <v>2025</v>
      </c>
      <c r="AF412">
        <f t="shared" si="62"/>
        <v>11</v>
      </c>
    </row>
    <row r="413" spans="1:32" x14ac:dyDescent="0.25">
      <c r="A413" s="59">
        <v>45981.125</v>
      </c>
      <c r="B413" s="2">
        <v>1399</v>
      </c>
      <c r="C413" s="19" t="s">
        <v>1328</v>
      </c>
      <c r="D413" s="19" t="s">
        <v>2</v>
      </c>
      <c r="E413" s="19" t="s">
        <v>2</v>
      </c>
      <c r="F413" s="19" t="s">
        <v>1329</v>
      </c>
      <c r="G413" s="19" t="s">
        <v>1330</v>
      </c>
      <c r="H413" s="19" t="s">
        <v>1331</v>
      </c>
      <c r="I413" s="19" t="s">
        <v>1332</v>
      </c>
      <c r="J413" s="2" t="s">
        <v>2</v>
      </c>
      <c r="K413" s="20">
        <v>45981.125</v>
      </c>
      <c r="L413" s="20">
        <v>45981.125</v>
      </c>
      <c r="M413" s="22">
        <v>69</v>
      </c>
      <c r="N413" s="21">
        <v>100000</v>
      </c>
      <c r="O413" s="2" t="s">
        <v>76</v>
      </c>
      <c r="P413" s="2" t="s">
        <v>4</v>
      </c>
      <c r="Q413" s="2" t="s">
        <v>5</v>
      </c>
      <c r="R413" s="21">
        <f t="shared" si="54"/>
        <v>100000</v>
      </c>
      <c r="S413" s="21">
        <v>100000</v>
      </c>
      <c r="T413" s="5">
        <f t="shared" si="55"/>
        <v>187500</v>
      </c>
      <c r="U413">
        <f t="shared" si="56"/>
        <v>11</v>
      </c>
      <c r="V413">
        <f t="shared" si="57"/>
        <v>11</v>
      </c>
      <c r="W413" s="5">
        <f t="shared" si="58"/>
        <v>0</v>
      </c>
      <c r="X413" s="2" t="s">
        <v>6</v>
      </c>
      <c r="Y413" s="2" t="s">
        <v>2</v>
      </c>
      <c r="Z413">
        <v>920</v>
      </c>
      <c r="AC413">
        <f t="shared" si="59"/>
        <v>2025</v>
      </c>
      <c r="AD413">
        <f t="shared" si="60"/>
        <v>2025</v>
      </c>
      <c r="AE413">
        <f t="shared" si="61"/>
        <v>2025</v>
      </c>
      <c r="AF413">
        <f t="shared" si="62"/>
        <v>11</v>
      </c>
    </row>
    <row r="414" spans="1:32" x14ac:dyDescent="0.25">
      <c r="A414" s="59">
        <v>45982.125</v>
      </c>
      <c r="B414" s="2">
        <v>1400</v>
      </c>
      <c r="C414" s="19" t="s">
        <v>1333</v>
      </c>
      <c r="D414" s="19" t="s">
        <v>2</v>
      </c>
      <c r="E414" s="19" t="s">
        <v>2</v>
      </c>
      <c r="F414" s="19" t="s">
        <v>1334</v>
      </c>
      <c r="G414" s="19" t="s">
        <v>1335</v>
      </c>
      <c r="H414" s="19" t="s">
        <v>1336</v>
      </c>
      <c r="I414" s="19" t="s">
        <v>1337</v>
      </c>
      <c r="J414" s="2" t="s">
        <v>2</v>
      </c>
      <c r="K414" s="20">
        <v>45982.125</v>
      </c>
      <c r="L414" s="20"/>
      <c r="M414" s="22">
        <v>1100</v>
      </c>
      <c r="N414" s="21">
        <v>1595000</v>
      </c>
      <c r="O414" s="2" t="s">
        <v>3</v>
      </c>
      <c r="P414" s="2" t="s">
        <v>128</v>
      </c>
      <c r="Q414" s="2" t="s">
        <v>97</v>
      </c>
      <c r="R414" s="21">
        <f t="shared" si="54"/>
        <v>0</v>
      </c>
      <c r="S414" s="21">
        <v>0</v>
      </c>
      <c r="T414" s="5">
        <f t="shared" si="55"/>
        <v>187500</v>
      </c>
      <c r="U414">
        <f t="shared" si="56"/>
        <v>11</v>
      </c>
      <c r="V414">
        <f t="shared" si="57"/>
        <v>11</v>
      </c>
      <c r="W414" s="5">
        <f t="shared" si="58"/>
        <v>0</v>
      </c>
      <c r="X414" s="2" t="s">
        <v>6</v>
      </c>
      <c r="Y414" s="2" t="s">
        <v>2</v>
      </c>
      <c r="AC414">
        <f t="shared" si="59"/>
        <v>2025</v>
      </c>
      <c r="AD414">
        <f t="shared" si="60"/>
        <v>2025</v>
      </c>
      <c r="AE414" t="str">
        <f t="shared" si="61"/>
        <v/>
      </c>
      <c r="AF414" t="str">
        <f t="shared" si="62"/>
        <v/>
      </c>
    </row>
    <row r="415" spans="1:32" x14ac:dyDescent="0.25">
      <c r="A415" s="59">
        <v>45982.125</v>
      </c>
      <c r="B415" s="2">
        <v>1401</v>
      </c>
      <c r="C415" s="19" t="s">
        <v>1338</v>
      </c>
      <c r="D415" s="19" t="s">
        <v>2</v>
      </c>
      <c r="E415" s="19" t="s">
        <v>2</v>
      </c>
      <c r="F415" s="19" t="s">
        <v>1218</v>
      </c>
      <c r="G415" s="19" t="s">
        <v>107</v>
      </c>
      <c r="H415" s="19" t="s">
        <v>265</v>
      </c>
      <c r="I415" s="19" t="s">
        <v>1339</v>
      </c>
      <c r="J415" s="2" t="s">
        <v>2</v>
      </c>
      <c r="K415" s="20">
        <v>45982.125</v>
      </c>
      <c r="L415" s="20">
        <v>45987.125</v>
      </c>
      <c r="M415" s="22">
        <v>330</v>
      </c>
      <c r="N415" s="21">
        <v>485000</v>
      </c>
      <c r="O415" s="2" t="s">
        <v>76</v>
      </c>
      <c r="P415" s="2" t="s">
        <v>4</v>
      </c>
      <c r="Q415" s="2" t="s">
        <v>5</v>
      </c>
      <c r="R415" s="21">
        <f t="shared" si="54"/>
        <v>485000</v>
      </c>
      <c r="S415" s="21">
        <v>485000</v>
      </c>
      <c r="T415" s="5">
        <f t="shared" si="55"/>
        <v>187500</v>
      </c>
      <c r="U415">
        <f t="shared" si="56"/>
        <v>11</v>
      </c>
      <c r="V415">
        <f t="shared" si="57"/>
        <v>11</v>
      </c>
      <c r="W415" s="5">
        <f t="shared" si="58"/>
        <v>0</v>
      </c>
      <c r="X415" s="2" t="s">
        <v>6</v>
      </c>
      <c r="Y415" s="2" t="s">
        <v>2</v>
      </c>
      <c r="Z415">
        <v>924</v>
      </c>
      <c r="AC415">
        <f t="shared" si="59"/>
        <v>2025</v>
      </c>
      <c r="AD415">
        <f t="shared" si="60"/>
        <v>2025</v>
      </c>
      <c r="AE415">
        <f t="shared" si="61"/>
        <v>2025</v>
      </c>
      <c r="AF415">
        <f t="shared" si="62"/>
        <v>11</v>
      </c>
    </row>
    <row r="416" spans="1:32" x14ac:dyDescent="0.25">
      <c r="A416" s="59">
        <v>45987.125</v>
      </c>
      <c r="B416" s="2">
        <v>1402</v>
      </c>
      <c r="C416" s="19" t="s">
        <v>1340</v>
      </c>
      <c r="D416" s="19" t="s">
        <v>2</v>
      </c>
      <c r="E416" s="19" t="s">
        <v>98</v>
      </c>
      <c r="F416" s="19" t="s">
        <v>1218</v>
      </c>
      <c r="G416" s="19" t="s">
        <v>1341</v>
      </c>
      <c r="H416" s="19" t="s">
        <v>1342</v>
      </c>
      <c r="I416" s="19" t="s">
        <v>1343</v>
      </c>
      <c r="J416" s="2" t="s">
        <v>2</v>
      </c>
      <c r="K416" s="20">
        <v>45989.125</v>
      </c>
      <c r="L416" s="20">
        <v>45992.125</v>
      </c>
      <c r="M416" s="22">
        <v>350</v>
      </c>
      <c r="N416" s="21">
        <v>516000</v>
      </c>
      <c r="O416" s="2" t="s">
        <v>76</v>
      </c>
      <c r="P416" s="2" t="s">
        <v>4</v>
      </c>
      <c r="Q416" s="2" t="s">
        <v>5</v>
      </c>
      <c r="R416" s="21">
        <f t="shared" si="54"/>
        <v>516000</v>
      </c>
      <c r="S416" s="21">
        <v>516000</v>
      </c>
      <c r="T416" s="5">
        <f t="shared" si="55"/>
        <v>187500</v>
      </c>
      <c r="U416">
        <f t="shared" si="56"/>
        <v>11</v>
      </c>
      <c r="V416">
        <f t="shared" si="57"/>
        <v>11</v>
      </c>
      <c r="W416" s="5">
        <f t="shared" si="58"/>
        <v>0</v>
      </c>
      <c r="X416" s="2" t="s">
        <v>6</v>
      </c>
      <c r="Y416" s="2" t="s">
        <v>2</v>
      </c>
      <c r="Z416">
        <v>923</v>
      </c>
      <c r="AA416" t="s">
        <v>1667</v>
      </c>
      <c r="AC416">
        <f t="shared" si="59"/>
        <v>2025</v>
      </c>
      <c r="AD416">
        <f t="shared" si="60"/>
        <v>2025</v>
      </c>
      <c r="AE416">
        <f t="shared" si="61"/>
        <v>2025</v>
      </c>
      <c r="AF416">
        <f t="shared" si="62"/>
        <v>12</v>
      </c>
    </row>
    <row r="417" spans="1:32" x14ac:dyDescent="0.25">
      <c r="A417" s="59">
        <v>45987.125</v>
      </c>
      <c r="B417" s="2">
        <v>1403</v>
      </c>
      <c r="C417" s="19" t="s">
        <v>135</v>
      </c>
      <c r="D417" s="19" t="s">
        <v>2</v>
      </c>
      <c r="E417" s="19" t="s">
        <v>2</v>
      </c>
      <c r="F417" s="19" t="s">
        <v>1344</v>
      </c>
      <c r="G417" s="19" t="s">
        <v>1345</v>
      </c>
      <c r="H417" s="19" t="s">
        <v>1346</v>
      </c>
      <c r="I417" s="19" t="s">
        <v>1347</v>
      </c>
      <c r="J417" s="2" t="s">
        <v>2</v>
      </c>
      <c r="K417" s="20">
        <v>45987.125</v>
      </c>
      <c r="L417" s="20">
        <v>45987.125</v>
      </c>
      <c r="M417" s="22">
        <v>68</v>
      </c>
      <c r="N417" s="21">
        <v>100000</v>
      </c>
      <c r="O417" s="2" t="s">
        <v>76</v>
      </c>
      <c r="P417" s="2" t="s">
        <v>4</v>
      </c>
      <c r="Q417" s="2" t="s">
        <v>5</v>
      </c>
      <c r="R417" s="21">
        <f t="shared" si="54"/>
        <v>100000</v>
      </c>
      <c r="S417" s="21">
        <v>100000</v>
      </c>
      <c r="T417" s="5">
        <f t="shared" si="55"/>
        <v>187500</v>
      </c>
      <c r="U417">
        <f t="shared" si="56"/>
        <v>11</v>
      </c>
      <c r="V417">
        <f t="shared" si="57"/>
        <v>11</v>
      </c>
      <c r="W417" s="5">
        <f t="shared" si="58"/>
        <v>0</v>
      </c>
      <c r="X417" s="2" t="s">
        <v>6</v>
      </c>
      <c r="Y417" s="2" t="s">
        <v>2</v>
      </c>
      <c r="Z417">
        <v>921</v>
      </c>
      <c r="AC417">
        <f t="shared" si="59"/>
        <v>2025</v>
      </c>
      <c r="AD417">
        <f t="shared" si="60"/>
        <v>2025</v>
      </c>
      <c r="AE417">
        <f t="shared" si="61"/>
        <v>2025</v>
      </c>
      <c r="AF417">
        <f t="shared" si="62"/>
        <v>11</v>
      </c>
    </row>
    <row r="418" spans="1:32" x14ac:dyDescent="0.25">
      <c r="A418" s="59">
        <v>45987.125</v>
      </c>
      <c r="B418" s="2">
        <v>1404</v>
      </c>
      <c r="C418" s="19" t="s">
        <v>1304</v>
      </c>
      <c r="D418" s="19" t="s">
        <v>2</v>
      </c>
      <c r="E418" s="19" t="s">
        <v>2</v>
      </c>
      <c r="F418" s="19" t="s">
        <v>316</v>
      </c>
      <c r="G418" s="19" t="s">
        <v>331</v>
      </c>
      <c r="H418" s="19" t="s">
        <v>1348</v>
      </c>
      <c r="I418" s="19" t="s">
        <v>1349</v>
      </c>
      <c r="J418" s="2" t="s">
        <v>2</v>
      </c>
      <c r="K418" s="20">
        <v>45996.125</v>
      </c>
      <c r="L418" s="20">
        <v>45996.125</v>
      </c>
      <c r="M418" s="22">
        <v>175</v>
      </c>
      <c r="N418" s="21">
        <v>257000</v>
      </c>
      <c r="O418" s="2" t="s">
        <v>3</v>
      </c>
      <c r="P418" s="2" t="s">
        <v>145</v>
      </c>
      <c r="Q418" s="2" t="s">
        <v>146</v>
      </c>
      <c r="R418" s="21">
        <f t="shared" si="54"/>
        <v>0</v>
      </c>
      <c r="S418" s="21">
        <v>0</v>
      </c>
      <c r="T418" s="5">
        <f t="shared" si="55"/>
        <v>187500</v>
      </c>
      <c r="U418">
        <f t="shared" si="56"/>
        <v>12</v>
      </c>
      <c r="V418">
        <f t="shared" si="57"/>
        <v>11</v>
      </c>
      <c r="W418" s="5">
        <f t="shared" si="58"/>
        <v>0</v>
      </c>
      <c r="X418" s="2" t="s">
        <v>6</v>
      </c>
      <c r="Y418" s="2" t="s">
        <v>2</v>
      </c>
      <c r="AC418">
        <f t="shared" si="59"/>
        <v>2025</v>
      </c>
      <c r="AD418">
        <f t="shared" si="60"/>
        <v>2025</v>
      </c>
      <c r="AE418">
        <f t="shared" si="61"/>
        <v>2025</v>
      </c>
      <c r="AF418">
        <f t="shared" si="62"/>
        <v>12</v>
      </c>
    </row>
    <row r="419" spans="1:32" x14ac:dyDescent="0.25">
      <c r="A419" s="59">
        <v>45989.125</v>
      </c>
      <c r="B419" s="2">
        <v>1405</v>
      </c>
      <c r="C419" s="19" t="s">
        <v>1350</v>
      </c>
      <c r="D419" s="19" t="s">
        <v>2</v>
      </c>
      <c r="E419" s="19" t="s">
        <v>2</v>
      </c>
      <c r="F419" s="19" t="s">
        <v>602</v>
      </c>
      <c r="G419" s="19" t="s">
        <v>91</v>
      </c>
      <c r="H419" s="19" t="s">
        <v>627</v>
      </c>
      <c r="I419" s="19" t="s">
        <v>1351</v>
      </c>
      <c r="J419" s="2" t="s">
        <v>2</v>
      </c>
      <c r="K419" s="20">
        <v>45989.125</v>
      </c>
      <c r="L419" s="20">
        <v>45992.125</v>
      </c>
      <c r="M419" s="22">
        <v>190</v>
      </c>
      <c r="N419" s="21">
        <v>280000</v>
      </c>
      <c r="O419" s="2" t="s">
        <v>76</v>
      </c>
      <c r="P419" s="2" t="s">
        <v>4</v>
      </c>
      <c r="Q419" s="2" t="s">
        <v>5</v>
      </c>
      <c r="R419" s="21">
        <f t="shared" si="54"/>
        <v>280000</v>
      </c>
      <c r="S419" s="21">
        <v>280000</v>
      </c>
      <c r="T419" s="5">
        <f t="shared" si="55"/>
        <v>187500</v>
      </c>
      <c r="U419">
        <f t="shared" si="56"/>
        <v>11</v>
      </c>
      <c r="V419">
        <f t="shared" si="57"/>
        <v>11</v>
      </c>
      <c r="W419" s="5">
        <f t="shared" si="58"/>
        <v>0</v>
      </c>
      <c r="X419" s="2" t="s">
        <v>6</v>
      </c>
      <c r="Y419" s="2" t="s">
        <v>2</v>
      </c>
      <c r="Z419">
        <v>922</v>
      </c>
      <c r="AC419">
        <f t="shared" si="59"/>
        <v>2025</v>
      </c>
      <c r="AD419">
        <f t="shared" si="60"/>
        <v>2025</v>
      </c>
      <c r="AE419">
        <f t="shared" si="61"/>
        <v>2025</v>
      </c>
      <c r="AF419">
        <f t="shared" si="62"/>
        <v>12</v>
      </c>
    </row>
    <row r="420" spans="1:32" x14ac:dyDescent="0.25">
      <c r="A420" s="59">
        <v>45994.125</v>
      </c>
      <c r="B420" s="2">
        <v>1406</v>
      </c>
      <c r="C420" s="19" t="s">
        <v>372</v>
      </c>
      <c r="D420" s="19" t="s">
        <v>2</v>
      </c>
      <c r="E420" s="19" t="s">
        <v>2</v>
      </c>
      <c r="F420" s="19" t="s">
        <v>86</v>
      </c>
      <c r="G420" s="19" t="s">
        <v>351</v>
      </c>
      <c r="H420" s="19" t="s">
        <v>430</v>
      </c>
      <c r="I420" s="19" t="s">
        <v>1352</v>
      </c>
      <c r="J420" s="2" t="s">
        <v>2</v>
      </c>
      <c r="K420" s="20">
        <v>45994.125</v>
      </c>
      <c r="L420" s="20">
        <v>45995.125</v>
      </c>
      <c r="M420" s="22">
        <v>138</v>
      </c>
      <c r="N420" s="21">
        <v>190000</v>
      </c>
      <c r="O420" s="2" t="s">
        <v>76</v>
      </c>
      <c r="P420" s="2" t="s">
        <v>4</v>
      </c>
      <c r="Q420" s="2" t="s">
        <v>5</v>
      </c>
      <c r="R420" s="21">
        <f t="shared" si="54"/>
        <v>190000</v>
      </c>
      <c r="S420" s="21">
        <v>190000</v>
      </c>
      <c r="T420" s="5">
        <f t="shared" si="55"/>
        <v>187500</v>
      </c>
      <c r="U420">
        <f t="shared" si="56"/>
        <v>12</v>
      </c>
      <c r="V420">
        <f t="shared" si="57"/>
        <v>12</v>
      </c>
      <c r="W420" s="5">
        <f t="shared" si="58"/>
        <v>0</v>
      </c>
      <c r="X420" s="2" t="s">
        <v>6</v>
      </c>
      <c r="Y420" s="2" t="s">
        <v>2</v>
      </c>
      <c r="Z420">
        <v>925</v>
      </c>
      <c r="AA420" t="s">
        <v>1499</v>
      </c>
      <c r="AC420">
        <f t="shared" si="59"/>
        <v>2025</v>
      </c>
      <c r="AD420">
        <f t="shared" si="60"/>
        <v>2025</v>
      </c>
      <c r="AE420">
        <f t="shared" si="61"/>
        <v>2025</v>
      </c>
      <c r="AF420">
        <f t="shared" si="62"/>
        <v>12</v>
      </c>
    </row>
    <row r="421" spans="1:32" x14ac:dyDescent="0.25">
      <c r="A421" s="59">
        <v>45994.125</v>
      </c>
      <c r="B421" s="2">
        <v>1407</v>
      </c>
      <c r="C421" s="19" t="s">
        <v>372</v>
      </c>
      <c r="D421" s="19" t="s">
        <v>2</v>
      </c>
      <c r="E421" s="19" t="s">
        <v>1023</v>
      </c>
      <c r="F421" s="19" t="s">
        <v>86</v>
      </c>
      <c r="G421" s="19" t="s">
        <v>351</v>
      </c>
      <c r="H421" s="19" t="s">
        <v>430</v>
      </c>
      <c r="I421" s="19" t="s">
        <v>1353</v>
      </c>
      <c r="J421" s="2" t="s">
        <v>2</v>
      </c>
      <c r="K421" s="20">
        <v>45994.125</v>
      </c>
      <c r="L421" s="20">
        <v>45995.125</v>
      </c>
      <c r="M421" s="22">
        <v>125</v>
      </c>
      <c r="N421" s="21">
        <v>185000</v>
      </c>
      <c r="O421" s="2" t="s">
        <v>76</v>
      </c>
      <c r="P421" s="2" t="s">
        <v>4</v>
      </c>
      <c r="Q421" s="2" t="s">
        <v>5</v>
      </c>
      <c r="R421" s="21">
        <f t="shared" si="54"/>
        <v>185000</v>
      </c>
      <c r="S421" s="21">
        <v>185000</v>
      </c>
      <c r="T421" s="5">
        <f t="shared" si="55"/>
        <v>187500</v>
      </c>
      <c r="U421">
        <f t="shared" si="56"/>
        <v>12</v>
      </c>
      <c r="V421">
        <f t="shared" si="57"/>
        <v>12</v>
      </c>
      <c r="W421" s="5">
        <f t="shared" si="58"/>
        <v>0</v>
      </c>
      <c r="X421" s="2" t="s">
        <v>6</v>
      </c>
      <c r="Y421" s="2" t="s">
        <v>2</v>
      </c>
      <c r="Z421">
        <v>925</v>
      </c>
      <c r="AA421" t="s">
        <v>1499</v>
      </c>
      <c r="AC421">
        <f t="shared" si="59"/>
        <v>2025</v>
      </c>
      <c r="AD421">
        <f t="shared" si="60"/>
        <v>2025</v>
      </c>
      <c r="AE421">
        <f t="shared" si="61"/>
        <v>2025</v>
      </c>
      <c r="AF421">
        <f t="shared" si="62"/>
        <v>12</v>
      </c>
    </row>
    <row r="422" spans="1:32" x14ac:dyDescent="0.25">
      <c r="A422" s="59">
        <v>45995.125</v>
      </c>
      <c r="B422" s="2">
        <v>1408</v>
      </c>
      <c r="C422" s="19" t="s">
        <v>405</v>
      </c>
      <c r="D422" s="19" t="s">
        <v>2</v>
      </c>
      <c r="E422" s="19" t="s">
        <v>2</v>
      </c>
      <c r="F422" s="19" t="s">
        <v>406</v>
      </c>
      <c r="G422" s="19" t="s">
        <v>407</v>
      </c>
      <c r="H422" s="19" t="s">
        <v>408</v>
      </c>
      <c r="I422" s="19" t="s">
        <v>409</v>
      </c>
      <c r="J422" s="2" t="s">
        <v>2</v>
      </c>
      <c r="K422" s="20">
        <v>46006.125</v>
      </c>
      <c r="L422" s="20">
        <v>46000.125</v>
      </c>
      <c r="M422" s="22">
        <v>200</v>
      </c>
      <c r="N422" s="21">
        <v>296000</v>
      </c>
      <c r="O422" s="2" t="s">
        <v>76</v>
      </c>
      <c r="P422" s="2" t="s">
        <v>4</v>
      </c>
      <c r="Q422" s="2" t="s">
        <v>5</v>
      </c>
      <c r="R422" s="21">
        <f t="shared" si="54"/>
        <v>296000</v>
      </c>
      <c r="S422" s="21">
        <v>296000</v>
      </c>
      <c r="T422" s="5">
        <f t="shared" si="55"/>
        <v>187500</v>
      </c>
      <c r="U422">
        <f t="shared" si="56"/>
        <v>12</v>
      </c>
      <c r="V422">
        <f t="shared" si="57"/>
        <v>12</v>
      </c>
      <c r="W422" s="5">
        <f t="shared" si="58"/>
        <v>0</v>
      </c>
      <c r="X422" s="2" t="s">
        <v>6</v>
      </c>
      <c r="Y422" s="2" t="s">
        <v>2</v>
      </c>
      <c r="Z422">
        <v>927</v>
      </c>
      <c r="AA422" t="s">
        <v>1668</v>
      </c>
      <c r="AC422">
        <f t="shared" si="59"/>
        <v>2025</v>
      </c>
      <c r="AD422">
        <f t="shared" si="60"/>
        <v>2025</v>
      </c>
      <c r="AE422">
        <f t="shared" si="61"/>
        <v>2025</v>
      </c>
      <c r="AF422">
        <f t="shared" si="62"/>
        <v>12</v>
      </c>
    </row>
    <row r="423" spans="1:32" x14ac:dyDescent="0.25">
      <c r="A423" s="59">
        <v>45996.125</v>
      </c>
      <c r="B423" s="2">
        <v>1409</v>
      </c>
      <c r="C423" s="19" t="s">
        <v>799</v>
      </c>
      <c r="D423" s="19" t="s">
        <v>2</v>
      </c>
      <c r="E423" s="19" t="s">
        <v>2</v>
      </c>
      <c r="F423" s="19" t="s">
        <v>86</v>
      </c>
      <c r="G423" s="19" t="s">
        <v>94</v>
      </c>
      <c r="H423" s="19" t="s">
        <v>104</v>
      </c>
      <c r="I423" s="19" t="s">
        <v>1354</v>
      </c>
      <c r="J423" s="2" t="s">
        <v>2</v>
      </c>
      <c r="K423" s="20">
        <v>45996.125</v>
      </c>
      <c r="L423" s="20">
        <v>46001.125</v>
      </c>
      <c r="M423" s="22">
        <v>165</v>
      </c>
      <c r="N423" s="21">
        <v>235000</v>
      </c>
      <c r="O423" s="2" t="s">
        <v>76</v>
      </c>
      <c r="P423" s="2" t="s">
        <v>4</v>
      </c>
      <c r="Q423" s="2" t="s">
        <v>5</v>
      </c>
      <c r="R423" s="21">
        <f t="shared" si="54"/>
        <v>235000</v>
      </c>
      <c r="S423" s="21">
        <v>235000</v>
      </c>
      <c r="T423" s="5">
        <f t="shared" si="55"/>
        <v>187500</v>
      </c>
      <c r="U423">
        <f t="shared" si="56"/>
        <v>12</v>
      </c>
      <c r="V423">
        <f t="shared" si="57"/>
        <v>12</v>
      </c>
      <c r="W423" s="5">
        <f t="shared" si="58"/>
        <v>0</v>
      </c>
      <c r="X423" s="2" t="s">
        <v>6</v>
      </c>
      <c r="Y423" s="2" t="s">
        <v>2</v>
      </c>
      <c r="Z423">
        <v>926</v>
      </c>
      <c r="AC423">
        <f t="shared" si="59"/>
        <v>2025</v>
      </c>
      <c r="AD423">
        <f t="shared" si="60"/>
        <v>2025</v>
      </c>
      <c r="AE423">
        <f t="shared" si="61"/>
        <v>2025</v>
      </c>
      <c r="AF423">
        <f t="shared" si="62"/>
        <v>12</v>
      </c>
    </row>
    <row r="424" spans="1:32" x14ac:dyDescent="0.25">
      <c r="A424" s="59">
        <v>46000.125</v>
      </c>
      <c r="B424" s="2">
        <v>1410</v>
      </c>
      <c r="C424" s="19" t="s">
        <v>1</v>
      </c>
      <c r="D424" s="19" t="s">
        <v>2</v>
      </c>
      <c r="E424" s="19" t="s">
        <v>2</v>
      </c>
      <c r="F424" s="19" t="s">
        <v>136</v>
      </c>
      <c r="G424" s="19" t="s">
        <v>137</v>
      </c>
      <c r="H424" s="19" t="s">
        <v>138</v>
      </c>
      <c r="I424" s="19" t="s">
        <v>1355</v>
      </c>
      <c r="J424" s="2" t="s">
        <v>2</v>
      </c>
      <c r="K424" s="20">
        <v>46003.125</v>
      </c>
      <c r="L424" s="20">
        <v>46003.125</v>
      </c>
      <c r="M424" s="22">
        <v>135</v>
      </c>
      <c r="N424" s="21">
        <v>198000</v>
      </c>
      <c r="O424" s="2" t="s">
        <v>76</v>
      </c>
      <c r="P424" s="2" t="s">
        <v>4</v>
      </c>
      <c r="Q424" s="2" t="s">
        <v>5</v>
      </c>
      <c r="R424" s="21">
        <f t="shared" si="54"/>
        <v>198000</v>
      </c>
      <c r="S424" s="21">
        <v>198000</v>
      </c>
      <c r="T424" s="5">
        <f t="shared" si="55"/>
        <v>187500</v>
      </c>
      <c r="U424">
        <f t="shared" si="56"/>
        <v>12</v>
      </c>
      <c r="V424">
        <f t="shared" si="57"/>
        <v>12</v>
      </c>
      <c r="W424" s="5">
        <f t="shared" si="58"/>
        <v>0</v>
      </c>
      <c r="X424" s="2" t="s">
        <v>6</v>
      </c>
      <c r="Y424" s="2" t="s">
        <v>2</v>
      </c>
      <c r="Z424">
        <v>930</v>
      </c>
      <c r="AA424" t="s">
        <v>1669</v>
      </c>
      <c r="AC424">
        <f t="shared" si="59"/>
        <v>2025</v>
      </c>
      <c r="AD424">
        <f t="shared" si="60"/>
        <v>2025</v>
      </c>
      <c r="AE424">
        <f t="shared" si="61"/>
        <v>2025</v>
      </c>
      <c r="AF424">
        <f t="shared" si="62"/>
        <v>12</v>
      </c>
    </row>
    <row r="425" spans="1:32" x14ac:dyDescent="0.25">
      <c r="A425" s="59">
        <v>46006.125</v>
      </c>
      <c r="B425" s="2">
        <v>1411</v>
      </c>
      <c r="C425" s="19" t="s">
        <v>1356</v>
      </c>
      <c r="D425" s="19" t="s">
        <v>2</v>
      </c>
      <c r="E425" s="19" t="s">
        <v>2</v>
      </c>
      <c r="F425" s="19" t="s">
        <v>434</v>
      </c>
      <c r="G425" s="19" t="s">
        <v>237</v>
      </c>
      <c r="H425" s="19" t="s">
        <v>1357</v>
      </c>
      <c r="I425" s="19" t="s">
        <v>1358</v>
      </c>
      <c r="J425" s="2" t="s">
        <v>2</v>
      </c>
      <c r="K425" s="20">
        <v>46006.125</v>
      </c>
      <c r="L425" s="20">
        <v>46006.125</v>
      </c>
      <c r="M425" s="22">
        <v>0</v>
      </c>
      <c r="N425" s="21">
        <v>0</v>
      </c>
      <c r="O425" s="2" t="s">
        <v>3</v>
      </c>
      <c r="P425" s="2" t="s">
        <v>306</v>
      </c>
      <c r="Q425" s="2" t="s">
        <v>5</v>
      </c>
      <c r="R425" s="21">
        <f t="shared" si="54"/>
        <v>0</v>
      </c>
      <c r="S425" s="21">
        <v>0</v>
      </c>
      <c r="T425" s="5">
        <f t="shared" si="55"/>
        <v>187500</v>
      </c>
      <c r="U425">
        <f t="shared" si="56"/>
        <v>12</v>
      </c>
      <c r="V425">
        <f t="shared" si="57"/>
        <v>12</v>
      </c>
      <c r="W425" s="5">
        <f t="shared" si="58"/>
        <v>0</v>
      </c>
      <c r="X425" s="2" t="s">
        <v>6</v>
      </c>
      <c r="Y425" s="2" t="s">
        <v>2</v>
      </c>
      <c r="AC425">
        <f t="shared" si="59"/>
        <v>2025</v>
      </c>
      <c r="AD425">
        <f t="shared" si="60"/>
        <v>2025</v>
      </c>
      <c r="AE425">
        <f t="shared" si="61"/>
        <v>2025</v>
      </c>
      <c r="AF425">
        <f t="shared" si="62"/>
        <v>12</v>
      </c>
    </row>
    <row r="426" spans="1:32" x14ac:dyDescent="0.25">
      <c r="A426" s="59">
        <v>46006.125</v>
      </c>
      <c r="B426" s="2">
        <v>1412</v>
      </c>
      <c r="C426" s="19" t="s">
        <v>1732</v>
      </c>
      <c r="D426" s="19" t="s">
        <v>2</v>
      </c>
      <c r="E426" s="19" t="s">
        <v>2</v>
      </c>
      <c r="F426" s="19" t="s">
        <v>1249</v>
      </c>
      <c r="G426" s="19" t="s">
        <v>107</v>
      </c>
      <c r="H426" s="19" t="s">
        <v>1250</v>
      </c>
      <c r="I426" s="19" t="s">
        <v>1251</v>
      </c>
      <c r="J426" s="2" t="s">
        <v>2</v>
      </c>
      <c r="K426" s="20">
        <v>46006.125</v>
      </c>
      <c r="L426" s="20">
        <v>46006.125</v>
      </c>
      <c r="M426" s="22">
        <v>0</v>
      </c>
      <c r="N426" s="21">
        <v>0</v>
      </c>
      <c r="O426" s="2" t="s">
        <v>76</v>
      </c>
      <c r="P426" s="2" t="s">
        <v>1359</v>
      </c>
      <c r="Q426" s="2" t="s">
        <v>1360</v>
      </c>
      <c r="R426" s="21">
        <f t="shared" si="54"/>
        <v>0</v>
      </c>
      <c r="S426" s="21">
        <v>0</v>
      </c>
      <c r="T426" s="5">
        <f t="shared" si="55"/>
        <v>187500</v>
      </c>
      <c r="U426">
        <f t="shared" si="56"/>
        <v>12</v>
      </c>
      <c r="V426">
        <f t="shared" si="57"/>
        <v>12</v>
      </c>
      <c r="W426" s="5">
        <f t="shared" si="58"/>
        <v>0</v>
      </c>
      <c r="X426" s="2" t="s">
        <v>6</v>
      </c>
      <c r="Y426" s="2" t="s">
        <v>2</v>
      </c>
      <c r="Z426">
        <v>928</v>
      </c>
      <c r="AC426">
        <f t="shared" si="59"/>
        <v>2025</v>
      </c>
      <c r="AD426">
        <f t="shared" si="60"/>
        <v>2025</v>
      </c>
      <c r="AE426">
        <f t="shared" si="61"/>
        <v>2025</v>
      </c>
      <c r="AF426">
        <f t="shared" si="62"/>
        <v>12</v>
      </c>
    </row>
    <row r="427" spans="1:32" x14ac:dyDescent="0.25">
      <c r="A427" s="59">
        <v>46007.125</v>
      </c>
      <c r="B427" s="2">
        <v>1413</v>
      </c>
      <c r="C427" s="19" t="s">
        <v>907</v>
      </c>
      <c r="D427" s="19" t="s">
        <v>2</v>
      </c>
      <c r="E427" s="19" t="s">
        <v>2</v>
      </c>
      <c r="F427" s="19" t="s">
        <v>1361</v>
      </c>
      <c r="G427" s="19" t="s">
        <v>1362</v>
      </c>
      <c r="H427" s="19" t="s">
        <v>1363</v>
      </c>
      <c r="I427" s="19" t="s">
        <v>1364</v>
      </c>
      <c r="J427" s="2" t="s">
        <v>2</v>
      </c>
      <c r="K427" s="20">
        <v>46007.125</v>
      </c>
      <c r="L427" s="20">
        <v>46009.125</v>
      </c>
      <c r="M427" s="22">
        <v>91</v>
      </c>
      <c r="N427" s="21">
        <v>135000</v>
      </c>
      <c r="O427" s="2" t="s">
        <v>76</v>
      </c>
      <c r="P427" s="2" t="s">
        <v>4</v>
      </c>
      <c r="Q427" s="2" t="s">
        <v>5</v>
      </c>
      <c r="R427" s="21">
        <f t="shared" si="54"/>
        <v>135000</v>
      </c>
      <c r="S427" s="21">
        <v>135000</v>
      </c>
      <c r="T427" s="5">
        <f t="shared" si="55"/>
        <v>187500</v>
      </c>
      <c r="U427">
        <f t="shared" si="56"/>
        <v>12</v>
      </c>
      <c r="V427">
        <f t="shared" si="57"/>
        <v>12</v>
      </c>
      <c r="W427" s="5">
        <f t="shared" si="58"/>
        <v>0</v>
      </c>
      <c r="X427" s="2" t="s">
        <v>6</v>
      </c>
      <c r="Y427" s="2" t="s">
        <v>2</v>
      </c>
      <c r="AC427">
        <f t="shared" si="59"/>
        <v>2025</v>
      </c>
      <c r="AD427">
        <f t="shared" si="60"/>
        <v>2025</v>
      </c>
      <c r="AE427">
        <f t="shared" si="61"/>
        <v>2025</v>
      </c>
      <c r="AF427">
        <f t="shared" si="62"/>
        <v>12</v>
      </c>
    </row>
    <row r="428" spans="1:32" x14ac:dyDescent="0.25">
      <c r="A428" s="59">
        <v>46007.125</v>
      </c>
      <c r="B428" s="2">
        <v>1414</v>
      </c>
      <c r="C428" s="19" t="s">
        <v>367</v>
      </c>
      <c r="D428" s="19" t="s">
        <v>2</v>
      </c>
      <c r="E428" s="19" t="s">
        <v>2</v>
      </c>
      <c r="F428" s="19" t="s">
        <v>1365</v>
      </c>
      <c r="G428" s="19" t="s">
        <v>1366</v>
      </c>
      <c r="H428" s="19" t="s">
        <v>1367</v>
      </c>
      <c r="I428" s="19" t="s">
        <v>1368</v>
      </c>
      <c r="J428" s="2" t="s">
        <v>2</v>
      </c>
      <c r="K428" s="20">
        <v>46007.125</v>
      </c>
      <c r="L428" s="20">
        <v>46008.125</v>
      </c>
      <c r="M428" s="22">
        <v>40</v>
      </c>
      <c r="N428" s="21">
        <v>60000</v>
      </c>
      <c r="O428" s="2" t="s">
        <v>76</v>
      </c>
      <c r="P428" s="2" t="s">
        <v>4</v>
      </c>
      <c r="Q428" s="2" t="s">
        <v>5</v>
      </c>
      <c r="R428" s="21">
        <f t="shared" si="54"/>
        <v>60000</v>
      </c>
      <c r="S428" s="21">
        <v>60000</v>
      </c>
      <c r="T428" s="5">
        <f t="shared" si="55"/>
        <v>187500</v>
      </c>
      <c r="U428">
        <f t="shared" si="56"/>
        <v>12</v>
      </c>
      <c r="V428">
        <f t="shared" si="57"/>
        <v>12</v>
      </c>
      <c r="W428" s="5">
        <f t="shared" si="58"/>
        <v>0</v>
      </c>
      <c r="X428" s="2" t="s">
        <v>6</v>
      </c>
      <c r="Y428" s="2" t="s">
        <v>2</v>
      </c>
      <c r="Z428">
        <v>929</v>
      </c>
      <c r="AC428">
        <f t="shared" si="59"/>
        <v>2025</v>
      </c>
      <c r="AD428">
        <f t="shared" si="60"/>
        <v>2025</v>
      </c>
      <c r="AE428">
        <f t="shared" si="61"/>
        <v>2025</v>
      </c>
      <c r="AF428">
        <f t="shared" si="62"/>
        <v>12</v>
      </c>
    </row>
    <row r="429" spans="1:32" x14ac:dyDescent="0.25">
      <c r="A429" s="59">
        <v>46009.125</v>
      </c>
      <c r="B429" s="2">
        <v>1415</v>
      </c>
      <c r="C429" s="19" t="s">
        <v>1369</v>
      </c>
      <c r="D429" s="19" t="s">
        <v>2</v>
      </c>
      <c r="E429" s="19" t="s">
        <v>2</v>
      </c>
      <c r="F429" s="19" t="s">
        <v>1370</v>
      </c>
      <c r="G429" s="19" t="s">
        <v>1371</v>
      </c>
      <c r="H429" s="19" t="s">
        <v>1372</v>
      </c>
      <c r="I429" s="19" t="s">
        <v>1373</v>
      </c>
      <c r="J429" s="2" t="s">
        <v>2</v>
      </c>
      <c r="K429" s="20">
        <v>46010.125</v>
      </c>
      <c r="L429" s="20">
        <v>46010.125</v>
      </c>
      <c r="M429" s="22">
        <v>170</v>
      </c>
      <c r="N429" s="21">
        <v>250000</v>
      </c>
      <c r="O429" s="2" t="s">
        <v>3</v>
      </c>
      <c r="P429" s="2" t="s">
        <v>145</v>
      </c>
      <c r="Q429" s="2" t="s">
        <v>146</v>
      </c>
      <c r="R429" s="21">
        <f t="shared" si="54"/>
        <v>0</v>
      </c>
      <c r="S429" s="21">
        <v>0</v>
      </c>
      <c r="T429" s="5">
        <f t="shared" si="55"/>
        <v>187500</v>
      </c>
      <c r="U429">
        <f t="shared" si="56"/>
        <v>12</v>
      </c>
      <c r="V429">
        <f t="shared" si="57"/>
        <v>12</v>
      </c>
      <c r="W429" s="5">
        <f t="shared" si="58"/>
        <v>0</v>
      </c>
      <c r="X429" s="2" t="s">
        <v>6</v>
      </c>
      <c r="Y429" s="2" t="s">
        <v>2</v>
      </c>
      <c r="AC429">
        <f t="shared" si="59"/>
        <v>2025</v>
      </c>
      <c r="AD429">
        <f t="shared" si="60"/>
        <v>2025</v>
      </c>
      <c r="AE429">
        <f t="shared" si="61"/>
        <v>2025</v>
      </c>
      <c r="AF429">
        <f t="shared" si="62"/>
        <v>12</v>
      </c>
    </row>
    <row r="430" spans="1:32" x14ac:dyDescent="0.25">
      <c r="A430" s="59">
        <v>46009.125</v>
      </c>
      <c r="B430" s="2">
        <v>1416</v>
      </c>
      <c r="C430" s="19" t="s">
        <v>1369</v>
      </c>
      <c r="D430" s="19" t="s">
        <v>2</v>
      </c>
      <c r="E430" s="19" t="s">
        <v>2</v>
      </c>
      <c r="F430" s="19" t="s">
        <v>1374</v>
      </c>
      <c r="G430" s="19" t="s">
        <v>532</v>
      </c>
      <c r="H430" s="19" t="s">
        <v>1375</v>
      </c>
      <c r="I430" s="19" t="s">
        <v>1376</v>
      </c>
      <c r="J430" s="2" t="s">
        <v>2</v>
      </c>
      <c r="K430" s="20">
        <v>46010.125</v>
      </c>
      <c r="L430" s="20">
        <v>46010.125</v>
      </c>
      <c r="M430" s="22">
        <v>65</v>
      </c>
      <c r="N430" s="21">
        <v>97000</v>
      </c>
      <c r="O430" s="2" t="s">
        <v>76</v>
      </c>
      <c r="P430" s="2" t="s">
        <v>4</v>
      </c>
      <c r="Q430" s="2" t="s">
        <v>5</v>
      </c>
      <c r="R430" s="21">
        <f t="shared" si="54"/>
        <v>97000</v>
      </c>
      <c r="S430" s="21">
        <v>97000</v>
      </c>
      <c r="T430" s="5">
        <f t="shared" si="55"/>
        <v>187500</v>
      </c>
      <c r="U430">
        <f t="shared" si="56"/>
        <v>12</v>
      </c>
      <c r="V430">
        <f t="shared" si="57"/>
        <v>12</v>
      </c>
      <c r="W430" s="5">
        <f t="shared" si="58"/>
        <v>0</v>
      </c>
      <c r="X430" s="2" t="s">
        <v>6</v>
      </c>
      <c r="Y430" s="2" t="s">
        <v>2</v>
      </c>
      <c r="Z430">
        <v>931</v>
      </c>
      <c r="AC430">
        <f t="shared" si="59"/>
        <v>2025</v>
      </c>
      <c r="AD430">
        <f t="shared" si="60"/>
        <v>2025</v>
      </c>
      <c r="AE430">
        <f t="shared" si="61"/>
        <v>2025</v>
      </c>
      <c r="AF430">
        <f t="shared" si="62"/>
        <v>12</v>
      </c>
    </row>
    <row r="431" spans="1:32" x14ac:dyDescent="0.25">
      <c r="A431" s="59">
        <v>46031.125</v>
      </c>
      <c r="B431" s="2">
        <v>1417</v>
      </c>
      <c r="C431" s="19" t="s">
        <v>605</v>
      </c>
      <c r="D431" s="19" t="s">
        <v>2</v>
      </c>
      <c r="E431" s="19" t="s">
        <v>2</v>
      </c>
      <c r="F431" s="19" t="s">
        <v>606</v>
      </c>
      <c r="G431" s="19" t="s">
        <v>607</v>
      </c>
      <c r="H431" s="19" t="s">
        <v>608</v>
      </c>
      <c r="I431" s="19" t="s">
        <v>609</v>
      </c>
      <c r="J431" s="2" t="s">
        <v>2</v>
      </c>
      <c r="K431" s="20">
        <v>46109.125</v>
      </c>
      <c r="L431" s="20">
        <v>46034.125</v>
      </c>
      <c r="M431" s="22">
        <v>900</v>
      </c>
      <c r="N431" s="21">
        <v>1341000</v>
      </c>
      <c r="O431" s="2" t="s">
        <v>76</v>
      </c>
      <c r="P431" s="2" t="s">
        <v>4</v>
      </c>
      <c r="Q431" s="2" t="s">
        <v>5</v>
      </c>
      <c r="R431" s="21">
        <f t="shared" si="54"/>
        <v>1341000</v>
      </c>
      <c r="S431" s="21">
        <v>1341000</v>
      </c>
      <c r="T431" s="5">
        <f t="shared" si="55"/>
        <v>187500</v>
      </c>
      <c r="U431">
        <f t="shared" si="56"/>
        <v>3</v>
      </c>
      <c r="V431">
        <f t="shared" si="57"/>
        <v>1</v>
      </c>
      <c r="W431" s="5">
        <f t="shared" si="58"/>
        <v>0</v>
      </c>
      <c r="X431" s="2" t="s">
        <v>6</v>
      </c>
      <c r="Y431" s="2" t="s">
        <v>2</v>
      </c>
      <c r="Z431">
        <v>967</v>
      </c>
      <c r="AA431" t="s">
        <v>1670</v>
      </c>
      <c r="AC431">
        <f t="shared" si="59"/>
        <v>2026</v>
      </c>
      <c r="AD431">
        <f t="shared" si="60"/>
        <v>2026</v>
      </c>
      <c r="AE431">
        <f t="shared" si="61"/>
        <v>2026</v>
      </c>
      <c r="AF431">
        <f t="shared" si="62"/>
        <v>1</v>
      </c>
    </row>
    <row r="432" spans="1:32" x14ac:dyDescent="0.25">
      <c r="A432" s="59">
        <v>46031.125</v>
      </c>
      <c r="B432" s="2">
        <v>1418</v>
      </c>
      <c r="C432" s="19" t="s">
        <v>536</v>
      </c>
      <c r="D432" s="19" t="s">
        <v>2</v>
      </c>
      <c r="E432" s="19" t="s">
        <v>2</v>
      </c>
      <c r="F432" s="19" t="s">
        <v>86</v>
      </c>
      <c r="G432" s="19" t="s">
        <v>94</v>
      </c>
      <c r="H432" s="19" t="s">
        <v>321</v>
      </c>
      <c r="I432" s="19" t="s">
        <v>1377</v>
      </c>
      <c r="J432" s="2" t="s">
        <v>2</v>
      </c>
      <c r="K432" s="20">
        <v>46031.125</v>
      </c>
      <c r="L432" s="20">
        <v>46034.125</v>
      </c>
      <c r="M432" s="22">
        <v>165</v>
      </c>
      <c r="N432" s="21">
        <v>245000</v>
      </c>
      <c r="O432" s="2" t="s">
        <v>76</v>
      </c>
      <c r="P432" s="2" t="s">
        <v>4</v>
      </c>
      <c r="Q432" s="2" t="s">
        <v>5</v>
      </c>
      <c r="R432" s="21">
        <f t="shared" si="54"/>
        <v>245000</v>
      </c>
      <c r="S432" s="21">
        <v>245000</v>
      </c>
      <c r="T432" s="5">
        <f t="shared" si="55"/>
        <v>187500</v>
      </c>
      <c r="U432">
        <f t="shared" si="56"/>
        <v>1</v>
      </c>
      <c r="V432">
        <f t="shared" si="57"/>
        <v>1</v>
      </c>
      <c r="W432" s="5">
        <f t="shared" si="58"/>
        <v>0</v>
      </c>
      <c r="X432" s="2" t="s">
        <v>6</v>
      </c>
      <c r="Y432" s="2" t="s">
        <v>2</v>
      </c>
      <c r="Z432">
        <v>932</v>
      </c>
      <c r="AA432" t="s">
        <v>1671</v>
      </c>
      <c r="AC432">
        <f t="shared" si="59"/>
        <v>2026</v>
      </c>
      <c r="AD432">
        <f t="shared" si="60"/>
        <v>2026</v>
      </c>
      <c r="AE432">
        <f t="shared" si="61"/>
        <v>2026</v>
      </c>
      <c r="AF432">
        <f t="shared" si="62"/>
        <v>1</v>
      </c>
    </row>
    <row r="433" spans="1:32" x14ac:dyDescent="0.25">
      <c r="A433" s="59">
        <v>46034.125</v>
      </c>
      <c r="B433" s="2">
        <v>1419</v>
      </c>
      <c r="C433" s="19" t="s">
        <v>1378</v>
      </c>
      <c r="D433" s="19" t="s">
        <v>2</v>
      </c>
      <c r="E433" s="19" t="s">
        <v>2</v>
      </c>
      <c r="F433" s="19" t="s">
        <v>887</v>
      </c>
      <c r="G433" s="19" t="s">
        <v>1020</v>
      </c>
      <c r="H433" s="19" t="s">
        <v>1021</v>
      </c>
      <c r="I433" s="19" t="s">
        <v>1379</v>
      </c>
      <c r="J433" s="2" t="s">
        <v>2</v>
      </c>
      <c r="K433" s="20">
        <v>46045.125</v>
      </c>
      <c r="L433" s="20">
        <v>46038.125</v>
      </c>
      <c r="M433" s="22">
        <v>70</v>
      </c>
      <c r="N433" s="21">
        <v>105000</v>
      </c>
      <c r="O433" s="2" t="s">
        <v>76</v>
      </c>
      <c r="P433" s="2" t="s">
        <v>4</v>
      </c>
      <c r="Q433" s="2" t="s">
        <v>5</v>
      </c>
      <c r="R433" s="21">
        <f t="shared" si="54"/>
        <v>105000</v>
      </c>
      <c r="S433" s="21">
        <v>105000</v>
      </c>
      <c r="T433" s="5">
        <f t="shared" si="55"/>
        <v>187500</v>
      </c>
      <c r="U433">
        <f t="shared" si="56"/>
        <v>1</v>
      </c>
      <c r="V433">
        <f t="shared" si="57"/>
        <v>1</v>
      </c>
      <c r="W433" s="5">
        <f t="shared" si="58"/>
        <v>0</v>
      </c>
      <c r="X433" s="2" t="s">
        <v>6</v>
      </c>
      <c r="Y433" s="2" t="s">
        <v>2</v>
      </c>
      <c r="Z433">
        <v>936</v>
      </c>
      <c r="AC433">
        <f t="shared" si="59"/>
        <v>2026</v>
      </c>
      <c r="AD433">
        <f t="shared" si="60"/>
        <v>2026</v>
      </c>
      <c r="AE433">
        <f t="shared" si="61"/>
        <v>2026</v>
      </c>
      <c r="AF433">
        <f t="shared" si="62"/>
        <v>1</v>
      </c>
    </row>
    <row r="434" spans="1:32" x14ac:dyDescent="0.25">
      <c r="A434" s="59">
        <v>46034.125</v>
      </c>
      <c r="B434" s="2">
        <v>1420</v>
      </c>
      <c r="C434" s="19" t="s">
        <v>789</v>
      </c>
      <c r="D434" s="19" t="s">
        <v>2</v>
      </c>
      <c r="E434" s="19" t="s">
        <v>2</v>
      </c>
      <c r="F434" s="19" t="s">
        <v>86</v>
      </c>
      <c r="G434" s="19" t="s">
        <v>351</v>
      </c>
      <c r="H434" s="19" t="s">
        <v>430</v>
      </c>
      <c r="I434" s="19" t="s">
        <v>1380</v>
      </c>
      <c r="J434" s="2" t="s">
        <v>2</v>
      </c>
      <c r="K434" s="20">
        <v>46034.125</v>
      </c>
      <c r="L434" s="20">
        <v>46037.125</v>
      </c>
      <c r="M434" s="22">
        <v>0</v>
      </c>
      <c r="N434" s="21">
        <v>230000</v>
      </c>
      <c r="O434" s="2" t="s">
        <v>76</v>
      </c>
      <c r="P434" s="2" t="s">
        <v>4</v>
      </c>
      <c r="Q434" s="2" t="s">
        <v>5</v>
      </c>
      <c r="R434" s="21">
        <f t="shared" si="54"/>
        <v>230000</v>
      </c>
      <c r="S434" s="21">
        <v>230000</v>
      </c>
      <c r="T434" s="5">
        <f t="shared" si="55"/>
        <v>187500</v>
      </c>
      <c r="U434">
        <f t="shared" si="56"/>
        <v>1</v>
      </c>
      <c r="V434">
        <f t="shared" si="57"/>
        <v>1</v>
      </c>
      <c r="W434" s="5">
        <f t="shared" si="58"/>
        <v>0</v>
      </c>
      <c r="X434" s="2" t="s">
        <v>6</v>
      </c>
      <c r="Y434" s="2" t="s">
        <v>2</v>
      </c>
      <c r="Z434">
        <v>935</v>
      </c>
      <c r="AA434" t="s">
        <v>1672</v>
      </c>
      <c r="AC434">
        <f t="shared" si="59"/>
        <v>2026</v>
      </c>
      <c r="AD434">
        <f t="shared" si="60"/>
        <v>2026</v>
      </c>
      <c r="AE434">
        <f t="shared" si="61"/>
        <v>2026</v>
      </c>
      <c r="AF434">
        <f t="shared" si="62"/>
        <v>1</v>
      </c>
    </row>
    <row r="435" spans="1:32" x14ac:dyDescent="0.25">
      <c r="A435" s="59">
        <v>46034.125</v>
      </c>
      <c r="B435" s="2">
        <v>1421</v>
      </c>
      <c r="C435" s="19" t="s">
        <v>789</v>
      </c>
      <c r="D435" s="19" t="s">
        <v>2</v>
      </c>
      <c r="E435" s="19" t="s">
        <v>2</v>
      </c>
      <c r="F435" s="19" t="s">
        <v>86</v>
      </c>
      <c r="G435" s="19" t="s">
        <v>351</v>
      </c>
      <c r="H435" s="19" t="s">
        <v>430</v>
      </c>
      <c r="I435" s="19" t="s">
        <v>1381</v>
      </c>
      <c r="J435" s="2" t="s">
        <v>2</v>
      </c>
      <c r="K435" s="20">
        <v>46034.125</v>
      </c>
      <c r="L435" s="20">
        <v>46037.125</v>
      </c>
      <c r="M435" s="22">
        <v>0</v>
      </c>
      <c r="N435" s="21">
        <v>230000</v>
      </c>
      <c r="O435" s="2" t="s">
        <v>76</v>
      </c>
      <c r="P435" s="2" t="s">
        <v>4</v>
      </c>
      <c r="Q435" s="2" t="s">
        <v>5</v>
      </c>
      <c r="R435" s="21">
        <f t="shared" si="54"/>
        <v>230000</v>
      </c>
      <c r="S435" s="21">
        <v>230000</v>
      </c>
      <c r="T435" s="5">
        <f t="shared" si="55"/>
        <v>187500</v>
      </c>
      <c r="U435">
        <f t="shared" si="56"/>
        <v>1</v>
      </c>
      <c r="V435">
        <f t="shared" si="57"/>
        <v>1</v>
      </c>
      <c r="W435" s="5">
        <f t="shared" si="58"/>
        <v>0</v>
      </c>
      <c r="X435" s="2" t="s">
        <v>6</v>
      </c>
      <c r="Y435" s="2" t="s">
        <v>2</v>
      </c>
      <c r="Z435">
        <v>935</v>
      </c>
      <c r="AA435" t="s">
        <v>1672</v>
      </c>
      <c r="AC435">
        <f t="shared" si="59"/>
        <v>2026</v>
      </c>
      <c r="AD435">
        <f t="shared" si="60"/>
        <v>2026</v>
      </c>
      <c r="AE435">
        <f t="shared" si="61"/>
        <v>2026</v>
      </c>
      <c r="AF435">
        <f t="shared" si="62"/>
        <v>1</v>
      </c>
    </row>
    <row r="436" spans="1:32" x14ac:dyDescent="0.25">
      <c r="A436" s="59">
        <v>46034.125</v>
      </c>
      <c r="B436" s="2">
        <v>1422</v>
      </c>
      <c r="C436" s="19" t="s">
        <v>194</v>
      </c>
      <c r="D436" s="19" t="s">
        <v>2</v>
      </c>
      <c r="E436" s="19" t="s">
        <v>2</v>
      </c>
      <c r="F436" s="19" t="s">
        <v>86</v>
      </c>
      <c r="G436" s="19" t="s">
        <v>195</v>
      </c>
      <c r="H436" s="19" t="s">
        <v>196</v>
      </c>
      <c r="I436" s="19" t="s">
        <v>1382</v>
      </c>
      <c r="J436" s="2" t="s">
        <v>2</v>
      </c>
      <c r="K436" s="20">
        <v>46034.125</v>
      </c>
      <c r="L436" s="20">
        <v>46034.125</v>
      </c>
      <c r="M436" s="22">
        <v>194</v>
      </c>
      <c r="N436" s="21">
        <v>290000</v>
      </c>
      <c r="O436" s="2" t="s">
        <v>76</v>
      </c>
      <c r="P436" s="2" t="s">
        <v>4</v>
      </c>
      <c r="Q436" s="2" t="s">
        <v>5</v>
      </c>
      <c r="R436" s="21">
        <f t="shared" si="54"/>
        <v>290000</v>
      </c>
      <c r="S436" s="21">
        <v>290000</v>
      </c>
      <c r="T436" s="5">
        <f t="shared" si="55"/>
        <v>187500</v>
      </c>
      <c r="U436">
        <f t="shared" si="56"/>
        <v>1</v>
      </c>
      <c r="V436">
        <f t="shared" si="57"/>
        <v>1</v>
      </c>
      <c r="W436" s="5">
        <f t="shared" si="58"/>
        <v>0</v>
      </c>
      <c r="X436" s="2" t="s">
        <v>6</v>
      </c>
      <c r="Y436" s="2" t="s">
        <v>2</v>
      </c>
      <c r="Z436">
        <v>933</v>
      </c>
      <c r="AC436">
        <f t="shared" si="59"/>
        <v>2026</v>
      </c>
      <c r="AD436">
        <f t="shared" si="60"/>
        <v>2026</v>
      </c>
      <c r="AE436">
        <f t="shared" si="61"/>
        <v>2026</v>
      </c>
      <c r="AF436">
        <f t="shared" si="62"/>
        <v>1</v>
      </c>
    </row>
    <row r="437" spans="1:32" x14ac:dyDescent="0.25">
      <c r="A437" s="59">
        <v>46035.125</v>
      </c>
      <c r="B437" s="2">
        <v>1423</v>
      </c>
      <c r="C437" s="19" t="s">
        <v>372</v>
      </c>
      <c r="D437" s="19" t="s">
        <v>2</v>
      </c>
      <c r="E437" s="19" t="s">
        <v>2</v>
      </c>
      <c r="F437" s="19" t="s">
        <v>1384</v>
      </c>
      <c r="G437" s="19" t="s">
        <v>284</v>
      </c>
      <c r="H437" s="19" t="s">
        <v>1385</v>
      </c>
      <c r="I437" s="19" t="s">
        <v>1386</v>
      </c>
      <c r="J437" s="2" t="s">
        <v>2</v>
      </c>
      <c r="K437" s="20">
        <v>46035.125</v>
      </c>
      <c r="L437" s="20">
        <v>46035.125</v>
      </c>
      <c r="M437" s="22">
        <v>38</v>
      </c>
      <c r="N437" s="21">
        <v>57000</v>
      </c>
      <c r="O437" s="2" t="s">
        <v>76</v>
      </c>
      <c r="P437" s="2" t="s">
        <v>4</v>
      </c>
      <c r="Q437" s="2" t="s">
        <v>5</v>
      </c>
      <c r="R437" s="21">
        <f t="shared" si="54"/>
        <v>57000</v>
      </c>
      <c r="S437" s="21">
        <v>57000</v>
      </c>
      <c r="T437" s="5">
        <f t="shared" si="55"/>
        <v>187500</v>
      </c>
      <c r="U437">
        <f t="shared" si="56"/>
        <v>1</v>
      </c>
      <c r="V437">
        <f t="shared" si="57"/>
        <v>1</v>
      </c>
      <c r="W437" s="5">
        <f t="shared" si="58"/>
        <v>0</v>
      </c>
      <c r="X437" s="2" t="s">
        <v>6</v>
      </c>
      <c r="Y437" s="2" t="s">
        <v>2</v>
      </c>
      <c r="Z437">
        <v>934</v>
      </c>
      <c r="AA437" t="s">
        <v>1499</v>
      </c>
      <c r="AC437">
        <f t="shared" si="59"/>
        <v>2026</v>
      </c>
      <c r="AD437">
        <f t="shared" si="60"/>
        <v>2026</v>
      </c>
      <c r="AE437">
        <f t="shared" si="61"/>
        <v>2026</v>
      </c>
      <c r="AF437">
        <f t="shared" si="62"/>
        <v>1</v>
      </c>
    </row>
    <row r="438" spans="1:32" x14ac:dyDescent="0.25">
      <c r="A438" s="59">
        <v>46038.125</v>
      </c>
      <c r="B438" s="2">
        <v>1424</v>
      </c>
      <c r="C438" s="19" t="s">
        <v>0</v>
      </c>
      <c r="D438" s="19" t="s">
        <v>111</v>
      </c>
      <c r="E438" s="19" t="s">
        <v>1387</v>
      </c>
      <c r="F438" s="19" t="s">
        <v>538</v>
      </c>
      <c r="G438" s="19" t="s">
        <v>539</v>
      </c>
      <c r="H438" s="19" t="s">
        <v>540</v>
      </c>
      <c r="I438" s="19" t="s">
        <v>1388</v>
      </c>
      <c r="J438" s="2" t="s">
        <v>2</v>
      </c>
      <c r="K438" s="20">
        <v>46062.125</v>
      </c>
      <c r="L438" s="20">
        <v>46045.125</v>
      </c>
      <c r="M438" s="22">
        <v>340</v>
      </c>
      <c r="N438" s="21">
        <v>494000</v>
      </c>
      <c r="O438" s="2" t="s">
        <v>76</v>
      </c>
      <c r="P438" s="2" t="s">
        <v>4</v>
      </c>
      <c r="Q438" s="2" t="s">
        <v>5</v>
      </c>
      <c r="R438" s="21">
        <f t="shared" si="54"/>
        <v>494000</v>
      </c>
      <c r="S438" s="21">
        <v>494000</v>
      </c>
      <c r="T438" s="5">
        <f t="shared" si="55"/>
        <v>187500</v>
      </c>
      <c r="U438">
        <f t="shared" si="56"/>
        <v>2</v>
      </c>
      <c r="V438">
        <f t="shared" si="57"/>
        <v>1</v>
      </c>
      <c r="W438" s="5">
        <f t="shared" si="58"/>
        <v>0</v>
      </c>
      <c r="X438" s="2" t="s">
        <v>6</v>
      </c>
      <c r="Y438" s="2" t="s">
        <v>2</v>
      </c>
      <c r="AA438" t="s">
        <v>1673</v>
      </c>
      <c r="AC438">
        <f t="shared" si="59"/>
        <v>2026</v>
      </c>
      <c r="AD438">
        <f t="shared" si="60"/>
        <v>2026</v>
      </c>
      <c r="AE438">
        <f t="shared" si="61"/>
        <v>2026</v>
      </c>
      <c r="AF438">
        <f t="shared" si="62"/>
        <v>1</v>
      </c>
    </row>
    <row r="439" spans="1:32" x14ac:dyDescent="0.25">
      <c r="A439" s="59">
        <v>46038.125</v>
      </c>
      <c r="B439" s="2">
        <v>1425</v>
      </c>
      <c r="C439" s="19" t="s">
        <v>0</v>
      </c>
      <c r="D439" s="19" t="s">
        <v>111</v>
      </c>
      <c r="E439" s="19" t="s">
        <v>1387</v>
      </c>
      <c r="F439" s="19" t="s">
        <v>538</v>
      </c>
      <c r="G439" s="19" t="s">
        <v>539</v>
      </c>
      <c r="H439" s="19" t="s">
        <v>540</v>
      </c>
      <c r="I439" s="19" t="s">
        <v>1389</v>
      </c>
      <c r="J439" s="2" t="s">
        <v>2</v>
      </c>
      <c r="K439" s="20">
        <v>46062.125</v>
      </c>
      <c r="L439" s="20">
        <v>46045.125</v>
      </c>
      <c r="M439" s="22">
        <v>340</v>
      </c>
      <c r="N439" s="21">
        <v>494000</v>
      </c>
      <c r="O439" s="2" t="s">
        <v>76</v>
      </c>
      <c r="P439" s="2" t="s">
        <v>4</v>
      </c>
      <c r="Q439" s="2" t="s">
        <v>5</v>
      </c>
      <c r="R439" s="21">
        <f t="shared" si="54"/>
        <v>494000</v>
      </c>
      <c r="S439" s="21">
        <v>494000</v>
      </c>
      <c r="T439" s="5">
        <f t="shared" si="55"/>
        <v>187500</v>
      </c>
      <c r="U439">
        <f t="shared" si="56"/>
        <v>2</v>
      </c>
      <c r="V439">
        <f t="shared" si="57"/>
        <v>1</v>
      </c>
      <c r="W439" s="5">
        <f t="shared" si="58"/>
        <v>0</v>
      </c>
      <c r="X439" s="2" t="s">
        <v>6</v>
      </c>
      <c r="Y439" s="2" t="s">
        <v>2</v>
      </c>
      <c r="AA439" t="s">
        <v>1673</v>
      </c>
      <c r="AC439">
        <f t="shared" si="59"/>
        <v>2026</v>
      </c>
      <c r="AD439">
        <f t="shared" si="60"/>
        <v>2026</v>
      </c>
      <c r="AE439">
        <f t="shared" si="61"/>
        <v>2026</v>
      </c>
      <c r="AF439">
        <f t="shared" si="62"/>
        <v>1</v>
      </c>
    </row>
    <row r="440" spans="1:32" x14ac:dyDescent="0.25">
      <c r="A440" s="59">
        <v>46038.125</v>
      </c>
      <c r="B440" s="2">
        <v>1426</v>
      </c>
      <c r="C440" s="19" t="s">
        <v>0</v>
      </c>
      <c r="D440" s="19" t="s">
        <v>111</v>
      </c>
      <c r="E440" s="19" t="s">
        <v>1387</v>
      </c>
      <c r="F440" s="19" t="s">
        <v>538</v>
      </c>
      <c r="G440" s="19" t="s">
        <v>539</v>
      </c>
      <c r="H440" s="19" t="s">
        <v>540</v>
      </c>
      <c r="I440" s="19" t="s">
        <v>1390</v>
      </c>
      <c r="J440" s="2" t="s">
        <v>2</v>
      </c>
      <c r="K440" s="20">
        <v>46062.125</v>
      </c>
      <c r="L440" s="20">
        <v>46045.125</v>
      </c>
      <c r="M440" s="22">
        <v>340</v>
      </c>
      <c r="N440" s="21">
        <v>494000</v>
      </c>
      <c r="O440" s="2" t="s">
        <v>76</v>
      </c>
      <c r="P440" s="2" t="s">
        <v>4</v>
      </c>
      <c r="Q440" s="2" t="s">
        <v>5</v>
      </c>
      <c r="R440" s="21">
        <f t="shared" si="54"/>
        <v>494000</v>
      </c>
      <c r="S440" s="21">
        <v>494000</v>
      </c>
      <c r="T440" s="5">
        <f t="shared" si="55"/>
        <v>187500</v>
      </c>
      <c r="U440">
        <f t="shared" si="56"/>
        <v>2</v>
      </c>
      <c r="V440">
        <f t="shared" si="57"/>
        <v>1</v>
      </c>
      <c r="W440" s="5">
        <f t="shared" si="58"/>
        <v>0</v>
      </c>
      <c r="X440" s="2" t="s">
        <v>6</v>
      </c>
      <c r="Y440" s="2" t="s">
        <v>2</v>
      </c>
      <c r="AA440" t="s">
        <v>1673</v>
      </c>
      <c r="AC440">
        <f t="shared" si="59"/>
        <v>2026</v>
      </c>
      <c r="AD440">
        <f t="shared" si="60"/>
        <v>2026</v>
      </c>
      <c r="AE440">
        <f t="shared" si="61"/>
        <v>2026</v>
      </c>
      <c r="AF440">
        <f t="shared" si="62"/>
        <v>1</v>
      </c>
    </row>
    <row r="441" spans="1:32" x14ac:dyDescent="0.25">
      <c r="A441" s="59">
        <v>46038.125</v>
      </c>
      <c r="B441" s="2">
        <v>1427</v>
      </c>
      <c r="C441" s="19" t="s">
        <v>536</v>
      </c>
      <c r="D441" s="19" t="s">
        <v>2</v>
      </c>
      <c r="E441" s="19" t="s">
        <v>2</v>
      </c>
      <c r="F441" s="19" t="s">
        <v>86</v>
      </c>
      <c r="G441" s="19" t="s">
        <v>1392</v>
      </c>
      <c r="H441" s="19" t="s">
        <v>1393</v>
      </c>
      <c r="I441" s="19" t="s">
        <v>1394</v>
      </c>
      <c r="J441" s="2" t="s">
        <v>2</v>
      </c>
      <c r="K441" s="20">
        <v>46038.125</v>
      </c>
      <c r="L441" s="20">
        <v>46041.125</v>
      </c>
      <c r="M441" s="22">
        <v>180</v>
      </c>
      <c r="N441" s="21">
        <v>262000</v>
      </c>
      <c r="O441" s="2" t="s">
        <v>76</v>
      </c>
      <c r="P441" s="2" t="s">
        <v>4</v>
      </c>
      <c r="Q441" s="2" t="s">
        <v>5</v>
      </c>
      <c r="R441" s="21">
        <f t="shared" si="54"/>
        <v>262000</v>
      </c>
      <c r="S441" s="21">
        <v>262000</v>
      </c>
      <c r="T441" s="5">
        <f t="shared" si="55"/>
        <v>187500</v>
      </c>
      <c r="U441">
        <f t="shared" si="56"/>
        <v>1</v>
      </c>
      <c r="V441">
        <f t="shared" si="57"/>
        <v>1</v>
      </c>
      <c r="W441" s="5">
        <f t="shared" si="58"/>
        <v>0</v>
      </c>
      <c r="X441" s="2" t="s">
        <v>6</v>
      </c>
      <c r="Y441" s="2" t="s">
        <v>2</v>
      </c>
      <c r="Z441">
        <v>937</v>
      </c>
      <c r="AA441" t="s">
        <v>1674</v>
      </c>
      <c r="AC441">
        <f t="shared" si="59"/>
        <v>2026</v>
      </c>
      <c r="AD441">
        <f t="shared" si="60"/>
        <v>2026</v>
      </c>
      <c r="AE441">
        <f t="shared" si="61"/>
        <v>2026</v>
      </c>
      <c r="AF441">
        <f t="shared" si="62"/>
        <v>1</v>
      </c>
    </row>
    <row r="442" spans="1:32" x14ac:dyDescent="0.25">
      <c r="A442" s="59">
        <v>46041.125</v>
      </c>
      <c r="B442" s="2">
        <v>1428</v>
      </c>
      <c r="C442" s="19" t="s">
        <v>218</v>
      </c>
      <c r="D442" s="19" t="s">
        <v>2</v>
      </c>
      <c r="E442" s="19" t="s">
        <v>2</v>
      </c>
      <c r="F442" s="19" t="s">
        <v>1395</v>
      </c>
      <c r="G442" s="19" t="s">
        <v>511</v>
      </c>
      <c r="H442" s="19" t="s">
        <v>1396</v>
      </c>
      <c r="I442" s="19" t="s">
        <v>1397</v>
      </c>
      <c r="J442" s="2" t="s">
        <v>2</v>
      </c>
      <c r="K442" s="20">
        <v>46041.125</v>
      </c>
      <c r="L442" s="20">
        <v>46041.125</v>
      </c>
      <c r="M442" s="22">
        <v>450</v>
      </c>
      <c r="N442" s="21">
        <v>654000</v>
      </c>
      <c r="O442" s="2" t="s">
        <v>76</v>
      </c>
      <c r="P442" s="2" t="s">
        <v>4</v>
      </c>
      <c r="Q442" s="2" t="s">
        <v>5</v>
      </c>
      <c r="R442" s="21">
        <f t="shared" si="54"/>
        <v>654000</v>
      </c>
      <c r="S442" s="21">
        <v>654000</v>
      </c>
      <c r="T442" s="5">
        <f t="shared" si="55"/>
        <v>187500</v>
      </c>
      <c r="U442">
        <f t="shared" si="56"/>
        <v>1</v>
      </c>
      <c r="V442">
        <f t="shared" si="57"/>
        <v>1</v>
      </c>
      <c r="W442" s="5">
        <f t="shared" si="58"/>
        <v>0</v>
      </c>
      <c r="X442" s="2" t="s">
        <v>6</v>
      </c>
      <c r="Y442" s="2" t="s">
        <v>2</v>
      </c>
      <c r="Z442">
        <v>938</v>
      </c>
      <c r="AA442" t="s">
        <v>1501</v>
      </c>
      <c r="AC442">
        <f t="shared" si="59"/>
        <v>2026</v>
      </c>
      <c r="AD442">
        <f t="shared" si="60"/>
        <v>2026</v>
      </c>
      <c r="AE442">
        <f t="shared" si="61"/>
        <v>2026</v>
      </c>
      <c r="AF442">
        <f t="shared" si="62"/>
        <v>1</v>
      </c>
    </row>
    <row r="443" spans="1:32" x14ac:dyDescent="0.25">
      <c r="A443" s="59">
        <v>46043.125</v>
      </c>
      <c r="B443" s="2">
        <v>1429</v>
      </c>
      <c r="C443" s="19" t="s">
        <v>605</v>
      </c>
      <c r="D443" s="19" t="s">
        <v>2</v>
      </c>
      <c r="E443" s="19" t="s">
        <v>2</v>
      </c>
      <c r="F443" s="19" t="s">
        <v>1398</v>
      </c>
      <c r="G443" s="19" t="s">
        <v>1399</v>
      </c>
      <c r="H443" s="19" t="s">
        <v>1400</v>
      </c>
      <c r="I443" s="19" t="s">
        <v>1401</v>
      </c>
      <c r="J443" s="2" t="s">
        <v>2</v>
      </c>
      <c r="K443" s="20">
        <v>46045.125</v>
      </c>
      <c r="L443" s="20">
        <v>46045.125</v>
      </c>
      <c r="M443" s="22">
        <v>82</v>
      </c>
      <c r="N443" s="21">
        <v>120000</v>
      </c>
      <c r="O443" s="2" t="s">
        <v>76</v>
      </c>
      <c r="P443" s="2" t="s">
        <v>4</v>
      </c>
      <c r="Q443" s="2" t="s">
        <v>5</v>
      </c>
      <c r="R443" s="21">
        <f t="shared" si="54"/>
        <v>120000</v>
      </c>
      <c r="S443" s="21">
        <v>120000</v>
      </c>
      <c r="T443" s="5">
        <f t="shared" si="55"/>
        <v>187500</v>
      </c>
      <c r="U443">
        <f t="shared" si="56"/>
        <v>1</v>
      </c>
      <c r="V443">
        <f t="shared" si="57"/>
        <v>1</v>
      </c>
      <c r="W443" s="5">
        <f t="shared" si="58"/>
        <v>0</v>
      </c>
      <c r="X443" s="2" t="s">
        <v>6</v>
      </c>
      <c r="Y443" s="2" t="s">
        <v>2</v>
      </c>
      <c r="Z443">
        <v>939</v>
      </c>
      <c r="AA443" t="s">
        <v>1502</v>
      </c>
      <c r="AC443">
        <f t="shared" si="59"/>
        <v>2026</v>
      </c>
      <c r="AD443">
        <f t="shared" si="60"/>
        <v>2026</v>
      </c>
      <c r="AE443">
        <f t="shared" si="61"/>
        <v>2026</v>
      </c>
      <c r="AF443">
        <f t="shared" si="62"/>
        <v>1</v>
      </c>
    </row>
    <row r="444" spans="1:32" x14ac:dyDescent="0.25">
      <c r="A444" s="59">
        <v>46044.125</v>
      </c>
      <c r="B444" s="2">
        <v>1430</v>
      </c>
      <c r="C444" s="19" t="s">
        <v>1402</v>
      </c>
      <c r="D444" s="19" t="s">
        <v>2</v>
      </c>
      <c r="E444" s="19" t="s">
        <v>2</v>
      </c>
      <c r="F444" s="19" t="s">
        <v>1403</v>
      </c>
      <c r="G444" s="19" t="s">
        <v>237</v>
      </c>
      <c r="H444" s="19" t="s">
        <v>1404</v>
      </c>
      <c r="I444" s="19" t="s">
        <v>1405</v>
      </c>
      <c r="J444" s="2" t="s">
        <v>2</v>
      </c>
      <c r="K444" s="20">
        <v>46044.125</v>
      </c>
      <c r="L444" s="20">
        <v>46045.125</v>
      </c>
      <c r="M444" s="22">
        <v>110</v>
      </c>
      <c r="N444" s="21">
        <v>159000</v>
      </c>
      <c r="O444" s="2" t="s">
        <v>76</v>
      </c>
      <c r="P444" s="2" t="s">
        <v>4</v>
      </c>
      <c r="Q444" s="2" t="s">
        <v>5</v>
      </c>
      <c r="R444" s="21">
        <f t="shared" si="54"/>
        <v>159000</v>
      </c>
      <c r="S444" s="21">
        <v>159000</v>
      </c>
      <c r="T444" s="5">
        <f t="shared" si="55"/>
        <v>187500</v>
      </c>
      <c r="U444">
        <f t="shared" si="56"/>
        <v>1</v>
      </c>
      <c r="V444">
        <f t="shared" si="57"/>
        <v>1</v>
      </c>
      <c r="W444" s="5">
        <f t="shared" si="58"/>
        <v>0</v>
      </c>
      <c r="X444" s="2" t="s">
        <v>6</v>
      </c>
      <c r="Y444" s="2" t="s">
        <v>2</v>
      </c>
      <c r="AA444" t="s">
        <v>1675</v>
      </c>
      <c r="AC444">
        <f t="shared" si="59"/>
        <v>2026</v>
      </c>
      <c r="AD444">
        <f t="shared" si="60"/>
        <v>2026</v>
      </c>
      <c r="AE444">
        <f t="shared" si="61"/>
        <v>2026</v>
      </c>
      <c r="AF444">
        <f t="shared" si="62"/>
        <v>1</v>
      </c>
    </row>
    <row r="445" spans="1:32" x14ac:dyDescent="0.25">
      <c r="A445" s="59">
        <v>46045.125</v>
      </c>
      <c r="B445" s="2">
        <v>1431</v>
      </c>
      <c r="C445" s="19" t="s">
        <v>1406</v>
      </c>
      <c r="D445" s="19" t="s">
        <v>2</v>
      </c>
      <c r="E445" s="19" t="s">
        <v>2</v>
      </c>
      <c r="F445" s="19" t="s">
        <v>1407</v>
      </c>
      <c r="G445" s="19" t="s">
        <v>1408</v>
      </c>
      <c r="H445" s="19" t="s">
        <v>1409</v>
      </c>
      <c r="I445" s="19" t="s">
        <v>1410</v>
      </c>
      <c r="J445" s="2" t="s">
        <v>2</v>
      </c>
      <c r="K445" s="20">
        <v>46045.125</v>
      </c>
      <c r="L445" s="20">
        <v>46074.125</v>
      </c>
      <c r="M445" s="22">
        <v>0</v>
      </c>
      <c r="N445" s="21">
        <v>0</v>
      </c>
      <c r="O445" s="2" t="s">
        <v>3</v>
      </c>
      <c r="P445" s="2" t="s">
        <v>306</v>
      </c>
      <c r="Q445" s="2" t="s">
        <v>5</v>
      </c>
      <c r="R445" s="21">
        <f t="shared" si="54"/>
        <v>0</v>
      </c>
      <c r="S445" s="21">
        <v>0</v>
      </c>
      <c r="T445" s="5">
        <f t="shared" si="55"/>
        <v>187500</v>
      </c>
      <c r="U445">
        <f t="shared" si="56"/>
        <v>1</v>
      </c>
      <c r="V445">
        <f t="shared" si="57"/>
        <v>1</v>
      </c>
      <c r="W445" s="5">
        <f t="shared" si="58"/>
        <v>0</v>
      </c>
      <c r="X445" s="2" t="s">
        <v>6</v>
      </c>
      <c r="Y445" s="2" t="s">
        <v>2</v>
      </c>
      <c r="AC445">
        <f t="shared" si="59"/>
        <v>2026</v>
      </c>
      <c r="AD445">
        <f t="shared" si="60"/>
        <v>2026</v>
      </c>
      <c r="AE445">
        <f t="shared" si="61"/>
        <v>2026</v>
      </c>
      <c r="AF445">
        <f t="shared" si="62"/>
        <v>2</v>
      </c>
    </row>
    <row r="446" spans="1:32" x14ac:dyDescent="0.25">
      <c r="A446" s="59">
        <v>46048.125</v>
      </c>
      <c r="B446" s="2">
        <v>1432</v>
      </c>
      <c r="C446" s="19" t="s">
        <v>1732</v>
      </c>
      <c r="D446" s="19" t="s">
        <v>2</v>
      </c>
      <c r="E446" s="19" t="s">
        <v>2</v>
      </c>
      <c r="F446" s="19" t="s">
        <v>1253</v>
      </c>
      <c r="G446" s="19" t="s">
        <v>1411</v>
      </c>
      <c r="H446" s="19" t="s">
        <v>1412</v>
      </c>
      <c r="I446" s="19" t="s">
        <v>1413</v>
      </c>
      <c r="J446" s="2" t="s">
        <v>2</v>
      </c>
      <c r="K446" s="20">
        <v>46052.125</v>
      </c>
      <c r="L446" s="20">
        <v>46052.125</v>
      </c>
      <c r="M446" s="22">
        <v>135</v>
      </c>
      <c r="N446" s="21">
        <v>198000</v>
      </c>
      <c r="O446" s="2" t="s">
        <v>76</v>
      </c>
      <c r="P446" s="2" t="s">
        <v>4</v>
      </c>
      <c r="Q446" s="2" t="s">
        <v>5</v>
      </c>
      <c r="R446" s="21">
        <f t="shared" si="54"/>
        <v>198000</v>
      </c>
      <c r="S446" s="21">
        <v>198000</v>
      </c>
      <c r="T446" s="5">
        <f t="shared" si="55"/>
        <v>187500</v>
      </c>
      <c r="U446">
        <f t="shared" si="56"/>
        <v>1</v>
      </c>
      <c r="V446">
        <f t="shared" si="57"/>
        <v>1</v>
      </c>
      <c r="W446" s="5">
        <f t="shared" si="58"/>
        <v>0</v>
      </c>
      <c r="X446" s="2" t="s">
        <v>6</v>
      </c>
      <c r="Y446" s="2" t="s">
        <v>2</v>
      </c>
      <c r="Z446">
        <v>942</v>
      </c>
      <c r="AC446">
        <f t="shared" si="59"/>
        <v>2026</v>
      </c>
      <c r="AD446">
        <f t="shared" si="60"/>
        <v>2026</v>
      </c>
      <c r="AE446">
        <f t="shared" si="61"/>
        <v>2026</v>
      </c>
      <c r="AF446">
        <f t="shared" si="62"/>
        <v>1</v>
      </c>
    </row>
    <row r="447" spans="1:32" x14ac:dyDescent="0.25">
      <c r="A447" s="59">
        <v>46049.125</v>
      </c>
      <c r="B447" s="2">
        <v>1433</v>
      </c>
      <c r="C447" s="19" t="s">
        <v>1414</v>
      </c>
      <c r="D447" s="19" t="s">
        <v>2</v>
      </c>
      <c r="E447" s="19" t="s">
        <v>2</v>
      </c>
      <c r="F447" s="19" t="s">
        <v>741</v>
      </c>
      <c r="G447" s="19" t="s">
        <v>1415</v>
      </c>
      <c r="H447" s="19" t="s">
        <v>1416</v>
      </c>
      <c r="I447" s="19" t="s">
        <v>1417</v>
      </c>
      <c r="J447" s="2" t="s">
        <v>2</v>
      </c>
      <c r="K447" s="20">
        <v>46064.125</v>
      </c>
      <c r="L447" s="20">
        <v>46052.125</v>
      </c>
      <c r="M447" s="22">
        <v>135</v>
      </c>
      <c r="N447" s="21">
        <v>198000</v>
      </c>
      <c r="O447" s="2" t="s">
        <v>76</v>
      </c>
      <c r="P447" s="2" t="s">
        <v>4</v>
      </c>
      <c r="Q447" s="2" t="s">
        <v>5</v>
      </c>
      <c r="R447" s="21">
        <f t="shared" si="54"/>
        <v>198000</v>
      </c>
      <c r="S447" s="21">
        <v>198000</v>
      </c>
      <c r="T447" s="5">
        <f t="shared" si="55"/>
        <v>187500</v>
      </c>
      <c r="U447">
        <f t="shared" si="56"/>
        <v>2</v>
      </c>
      <c r="V447">
        <f t="shared" si="57"/>
        <v>1</v>
      </c>
      <c r="W447" s="5">
        <f t="shared" si="58"/>
        <v>0</v>
      </c>
      <c r="X447" s="2" t="s">
        <v>6</v>
      </c>
      <c r="Y447" s="2" t="s">
        <v>2</v>
      </c>
      <c r="Z447">
        <v>946</v>
      </c>
      <c r="AA447" t="s">
        <v>1503</v>
      </c>
      <c r="AC447">
        <f t="shared" si="59"/>
        <v>2026</v>
      </c>
      <c r="AD447">
        <f t="shared" si="60"/>
        <v>2026</v>
      </c>
      <c r="AE447">
        <f t="shared" si="61"/>
        <v>2026</v>
      </c>
      <c r="AF447">
        <f t="shared" si="62"/>
        <v>1</v>
      </c>
    </row>
    <row r="448" spans="1:32" x14ac:dyDescent="0.25">
      <c r="A448" s="59">
        <v>46049.125</v>
      </c>
      <c r="B448" s="2">
        <v>1434</v>
      </c>
      <c r="C448" s="19" t="s">
        <v>1418</v>
      </c>
      <c r="D448" s="19" t="s">
        <v>2</v>
      </c>
      <c r="E448" s="19" t="s">
        <v>2</v>
      </c>
      <c r="F448" s="19" t="s">
        <v>1419</v>
      </c>
      <c r="G448" s="19" t="s">
        <v>1420</v>
      </c>
      <c r="H448" s="19" t="s">
        <v>1421</v>
      </c>
      <c r="I448" s="19" t="s">
        <v>1422</v>
      </c>
      <c r="J448" s="2" t="s">
        <v>2</v>
      </c>
      <c r="K448" s="20">
        <v>46058.125</v>
      </c>
      <c r="L448" s="20">
        <v>46058.125</v>
      </c>
      <c r="M448" s="22">
        <v>920</v>
      </c>
      <c r="N448" s="21">
        <v>1345000</v>
      </c>
      <c r="O448" s="2" t="s">
        <v>3</v>
      </c>
      <c r="P448" s="2" t="s">
        <v>145</v>
      </c>
      <c r="Q448" s="2" t="s">
        <v>146</v>
      </c>
      <c r="R448" s="21">
        <f t="shared" si="54"/>
        <v>0</v>
      </c>
      <c r="S448" s="21">
        <v>0</v>
      </c>
      <c r="T448" s="5">
        <f t="shared" si="55"/>
        <v>187500</v>
      </c>
      <c r="U448">
        <f t="shared" si="56"/>
        <v>2</v>
      </c>
      <c r="V448">
        <f t="shared" si="57"/>
        <v>1</v>
      </c>
      <c r="W448" s="5">
        <f t="shared" si="58"/>
        <v>0</v>
      </c>
      <c r="X448" s="2" t="s">
        <v>6</v>
      </c>
      <c r="Y448" s="2" t="s">
        <v>2</v>
      </c>
      <c r="AC448">
        <f t="shared" si="59"/>
        <v>2026</v>
      </c>
      <c r="AD448">
        <f t="shared" si="60"/>
        <v>2026</v>
      </c>
      <c r="AE448">
        <f t="shared" si="61"/>
        <v>2026</v>
      </c>
      <c r="AF448">
        <f t="shared" si="62"/>
        <v>2</v>
      </c>
    </row>
    <row r="449" spans="1:32" x14ac:dyDescent="0.25">
      <c r="A449" s="59">
        <v>46050.125</v>
      </c>
      <c r="B449" s="2">
        <v>1435</v>
      </c>
      <c r="C449" s="19" t="s">
        <v>218</v>
      </c>
      <c r="D449" s="19" t="s">
        <v>2</v>
      </c>
      <c r="E449" s="19" t="s">
        <v>2</v>
      </c>
      <c r="F449" s="19" t="s">
        <v>1423</v>
      </c>
      <c r="G449" s="19" t="s">
        <v>1424</v>
      </c>
      <c r="H449" s="19" t="s">
        <v>1425</v>
      </c>
      <c r="I449" s="19" t="s">
        <v>1426</v>
      </c>
      <c r="J449" s="2" t="s">
        <v>2</v>
      </c>
      <c r="K449" s="20">
        <v>46050.125</v>
      </c>
      <c r="L449" s="20">
        <v>46051.125</v>
      </c>
      <c r="M449" s="22">
        <v>60</v>
      </c>
      <c r="N449" s="21">
        <v>89500</v>
      </c>
      <c r="O449" s="2" t="s">
        <v>76</v>
      </c>
      <c r="P449" s="2" t="s">
        <v>4</v>
      </c>
      <c r="Q449" s="2" t="s">
        <v>5</v>
      </c>
      <c r="R449" s="21">
        <f t="shared" si="54"/>
        <v>89500</v>
      </c>
      <c r="S449" s="21">
        <v>89500</v>
      </c>
      <c r="T449" s="5">
        <f t="shared" si="55"/>
        <v>187500</v>
      </c>
      <c r="U449">
        <f t="shared" si="56"/>
        <v>1</v>
      </c>
      <c r="V449">
        <f t="shared" si="57"/>
        <v>1</v>
      </c>
      <c r="W449" s="5">
        <f t="shared" si="58"/>
        <v>0</v>
      </c>
      <c r="X449" s="2" t="s">
        <v>6</v>
      </c>
      <c r="Y449" s="2" t="s">
        <v>2</v>
      </c>
      <c r="Z449">
        <v>941</v>
      </c>
      <c r="AA449" t="s">
        <v>1504</v>
      </c>
      <c r="AC449">
        <f t="shared" si="59"/>
        <v>2026</v>
      </c>
      <c r="AD449">
        <f t="shared" si="60"/>
        <v>2026</v>
      </c>
      <c r="AE449">
        <f t="shared" si="61"/>
        <v>2026</v>
      </c>
      <c r="AF449">
        <f t="shared" si="62"/>
        <v>1</v>
      </c>
    </row>
    <row r="450" spans="1:32" x14ac:dyDescent="0.25">
      <c r="A450" s="59">
        <v>46051.125</v>
      </c>
      <c r="B450" s="2">
        <v>1436</v>
      </c>
      <c r="C450" s="19" t="s">
        <v>1732</v>
      </c>
      <c r="D450" s="19" t="s">
        <v>2</v>
      </c>
      <c r="E450" s="19" t="s">
        <v>2</v>
      </c>
      <c r="F450" s="19" t="s">
        <v>1218</v>
      </c>
      <c r="G450" s="19" t="s">
        <v>456</v>
      </c>
      <c r="H450" s="19" t="s">
        <v>543</v>
      </c>
      <c r="I450" s="19" t="s">
        <v>1427</v>
      </c>
      <c r="J450" s="2" t="s">
        <v>2</v>
      </c>
      <c r="K450" s="20">
        <v>46135.125</v>
      </c>
      <c r="L450" s="20">
        <v>46128.125</v>
      </c>
      <c r="M450" s="22">
        <v>390</v>
      </c>
      <c r="N450" s="21">
        <v>573300</v>
      </c>
      <c r="O450" s="2" t="s">
        <v>3</v>
      </c>
      <c r="P450" s="2" t="s">
        <v>4</v>
      </c>
      <c r="Q450" s="2" t="s">
        <v>5</v>
      </c>
      <c r="R450" s="21">
        <f t="shared" ref="R450:R513" si="63">IF(Q450="Aceptado",N450,0)</f>
        <v>573300</v>
      </c>
      <c r="S450" s="21">
        <v>573300</v>
      </c>
      <c r="T450" s="5">
        <f t="shared" ref="T450:T513" si="64">IFERROR(+T449+R450-S450,0)</f>
        <v>187500</v>
      </c>
      <c r="U450">
        <f t="shared" ref="U450:U507" si="65">IF(NOT(ISBLANK(K450)),MONTH(K450),"")</f>
        <v>4</v>
      </c>
      <c r="V450">
        <f t="shared" ref="V450:V507" si="66">IF(NOT(ISBLANK(A450)),MONTH(A450),"")</f>
        <v>1</v>
      </c>
      <c r="W450" s="5">
        <f t="shared" ref="W450:W507" si="67">IFERROR(+S450-R450,0)</f>
        <v>0</v>
      </c>
      <c r="X450" s="2" t="s">
        <v>6</v>
      </c>
      <c r="Y450" s="2" t="s">
        <v>2</v>
      </c>
      <c r="Z450">
        <v>976</v>
      </c>
      <c r="AA450" t="s">
        <v>1500</v>
      </c>
      <c r="AC450">
        <f t="shared" ref="AC450:AC507" si="68">IF(NOT(ISBLANK(K450)),YEAR(K450),"")</f>
        <v>2026</v>
      </c>
      <c r="AD450">
        <f t="shared" ref="AD450:AD507" si="69">IF(NOT(ISBLANK(A450)),YEAR(A450),"")</f>
        <v>2026</v>
      </c>
      <c r="AE450">
        <f t="shared" ref="AE450:AE507" si="70">IF(NOT(ISBLANK(L450)),YEAR(L450),"")</f>
        <v>2026</v>
      </c>
      <c r="AF450">
        <f t="shared" ref="AF450:AF507" si="71">IF(NOT(ISBLANK(L450)),MONTH(L450),"")</f>
        <v>4</v>
      </c>
    </row>
    <row r="451" spans="1:32" x14ac:dyDescent="0.25">
      <c r="A451" s="59">
        <v>46051.125</v>
      </c>
      <c r="B451" s="2">
        <v>1437</v>
      </c>
      <c r="C451" s="19" t="s">
        <v>1428</v>
      </c>
      <c r="D451" s="19" t="s">
        <v>2</v>
      </c>
      <c r="E451" s="19" t="s">
        <v>2</v>
      </c>
      <c r="F451" s="19" t="s">
        <v>1429</v>
      </c>
      <c r="G451" s="19" t="s">
        <v>1430</v>
      </c>
      <c r="H451" s="19" t="s">
        <v>1431</v>
      </c>
      <c r="I451" s="19" t="s">
        <v>1432</v>
      </c>
      <c r="J451" s="2" t="s">
        <v>2</v>
      </c>
      <c r="K451" s="20">
        <v>46059.125</v>
      </c>
      <c r="L451" s="20">
        <v>46051.125</v>
      </c>
      <c r="M451" s="22">
        <v>100</v>
      </c>
      <c r="N451" s="21">
        <v>147000</v>
      </c>
      <c r="O451" s="2" t="s">
        <v>76</v>
      </c>
      <c r="P451" s="2" t="s">
        <v>4</v>
      </c>
      <c r="Q451" s="2" t="s">
        <v>5</v>
      </c>
      <c r="R451" s="21">
        <f t="shared" si="63"/>
        <v>147000</v>
      </c>
      <c r="S451" s="21">
        <v>147000</v>
      </c>
      <c r="T451" s="5">
        <f t="shared" si="64"/>
        <v>187500</v>
      </c>
      <c r="U451">
        <f t="shared" si="65"/>
        <v>2</v>
      </c>
      <c r="V451">
        <f t="shared" si="66"/>
        <v>1</v>
      </c>
      <c r="W451" s="5">
        <f t="shared" si="67"/>
        <v>0</v>
      </c>
      <c r="X451" s="2" t="s">
        <v>6</v>
      </c>
      <c r="Y451" s="2" t="s">
        <v>2</v>
      </c>
      <c r="Z451">
        <v>944</v>
      </c>
      <c r="AA451" t="s">
        <v>1505</v>
      </c>
      <c r="AC451">
        <f t="shared" si="68"/>
        <v>2026</v>
      </c>
      <c r="AD451">
        <f t="shared" si="69"/>
        <v>2026</v>
      </c>
      <c r="AE451">
        <f t="shared" si="70"/>
        <v>2026</v>
      </c>
      <c r="AF451">
        <f t="shared" si="71"/>
        <v>1</v>
      </c>
    </row>
    <row r="452" spans="1:32" x14ac:dyDescent="0.25">
      <c r="A452" s="59">
        <v>46052.125</v>
      </c>
      <c r="B452" s="2">
        <v>1438</v>
      </c>
      <c r="C452" s="19" t="s">
        <v>1</v>
      </c>
      <c r="D452" s="19" t="s">
        <v>2</v>
      </c>
      <c r="E452" s="19" t="s">
        <v>2</v>
      </c>
      <c r="F452" s="19" t="s">
        <v>136</v>
      </c>
      <c r="G452" s="19" t="s">
        <v>137</v>
      </c>
      <c r="H452" s="19" t="s">
        <v>793</v>
      </c>
      <c r="I452" s="19" t="s">
        <v>1433</v>
      </c>
      <c r="J452" s="2" t="s">
        <v>2</v>
      </c>
      <c r="K452" s="20">
        <v>46052.125</v>
      </c>
      <c r="L452" s="20">
        <v>46058.125</v>
      </c>
      <c r="M452" s="22">
        <v>135</v>
      </c>
      <c r="N452" s="21">
        <v>195000</v>
      </c>
      <c r="O452" s="2" t="s">
        <v>76</v>
      </c>
      <c r="P452" s="2" t="s">
        <v>4</v>
      </c>
      <c r="Q452" s="2" t="s">
        <v>5</v>
      </c>
      <c r="R452" s="21">
        <f t="shared" si="63"/>
        <v>195000</v>
      </c>
      <c r="S452" s="21">
        <v>195000</v>
      </c>
      <c r="T452" s="5">
        <f t="shared" si="64"/>
        <v>187500</v>
      </c>
      <c r="U452">
        <f t="shared" si="65"/>
        <v>1</v>
      </c>
      <c r="V452">
        <f t="shared" si="66"/>
        <v>1</v>
      </c>
      <c r="W452" s="5">
        <f t="shared" si="67"/>
        <v>0</v>
      </c>
      <c r="X452" s="2" t="s">
        <v>6</v>
      </c>
      <c r="Y452" s="2" t="s">
        <v>2</v>
      </c>
      <c r="Z452">
        <v>940</v>
      </c>
      <c r="AA452" t="s">
        <v>1506</v>
      </c>
      <c r="AC452">
        <f t="shared" si="68"/>
        <v>2026</v>
      </c>
      <c r="AD452">
        <f t="shared" si="69"/>
        <v>2026</v>
      </c>
      <c r="AE452">
        <f t="shared" si="70"/>
        <v>2026</v>
      </c>
      <c r="AF452">
        <f t="shared" si="71"/>
        <v>2</v>
      </c>
    </row>
    <row r="453" spans="1:32" x14ac:dyDescent="0.25">
      <c r="A453" s="59">
        <v>46052.125</v>
      </c>
      <c r="B453" s="2">
        <v>1439</v>
      </c>
      <c r="C453" s="19" t="s">
        <v>799</v>
      </c>
      <c r="D453" s="19" t="s">
        <v>2</v>
      </c>
      <c r="E453" s="19" t="s">
        <v>2</v>
      </c>
      <c r="F453" s="19" t="s">
        <v>1434</v>
      </c>
      <c r="G453" s="19" t="s">
        <v>351</v>
      </c>
      <c r="H453" s="19" t="s">
        <v>1076</v>
      </c>
      <c r="I453" s="19" t="s">
        <v>1435</v>
      </c>
      <c r="J453" s="2" t="s">
        <v>2</v>
      </c>
      <c r="K453" s="20">
        <v>46062.125</v>
      </c>
      <c r="L453" s="20">
        <v>46062.125</v>
      </c>
      <c r="M453" s="22">
        <v>203</v>
      </c>
      <c r="N453" s="21">
        <v>298000</v>
      </c>
      <c r="O453" s="2" t="s">
        <v>76</v>
      </c>
      <c r="P453" s="2" t="s">
        <v>4</v>
      </c>
      <c r="Q453" s="2" t="s">
        <v>5</v>
      </c>
      <c r="R453" s="21">
        <f t="shared" si="63"/>
        <v>298000</v>
      </c>
      <c r="S453" s="21">
        <v>298000</v>
      </c>
      <c r="T453" s="5">
        <f t="shared" si="64"/>
        <v>187500</v>
      </c>
      <c r="U453">
        <f t="shared" si="65"/>
        <v>2</v>
      </c>
      <c r="V453">
        <f t="shared" si="66"/>
        <v>1</v>
      </c>
      <c r="W453" s="5">
        <f t="shared" si="67"/>
        <v>0</v>
      </c>
      <c r="X453" s="2" t="s">
        <v>6</v>
      </c>
      <c r="Y453" s="2" t="s">
        <v>2</v>
      </c>
      <c r="Z453">
        <v>945</v>
      </c>
      <c r="AA453" t="s">
        <v>1676</v>
      </c>
      <c r="AC453">
        <f t="shared" si="68"/>
        <v>2026</v>
      </c>
      <c r="AD453">
        <f t="shared" si="69"/>
        <v>2026</v>
      </c>
      <c r="AE453">
        <f t="shared" si="70"/>
        <v>2026</v>
      </c>
      <c r="AF453">
        <f t="shared" si="71"/>
        <v>2</v>
      </c>
    </row>
    <row r="454" spans="1:32" x14ac:dyDescent="0.25">
      <c r="A454" s="59">
        <v>46058.125</v>
      </c>
      <c r="B454" s="2">
        <v>1440</v>
      </c>
      <c r="C454" s="19" t="s">
        <v>536</v>
      </c>
      <c r="D454" s="19" t="s">
        <v>2</v>
      </c>
      <c r="E454" s="19" t="s">
        <v>2</v>
      </c>
      <c r="F454" s="19" t="s">
        <v>86</v>
      </c>
      <c r="G454" s="19" t="s">
        <v>195</v>
      </c>
      <c r="H454" s="19" t="s">
        <v>196</v>
      </c>
      <c r="I454" s="19" t="s">
        <v>1436</v>
      </c>
      <c r="J454" s="2" t="s">
        <v>2</v>
      </c>
      <c r="K454" s="20">
        <v>46070.125</v>
      </c>
      <c r="L454" s="20">
        <v>46070.125</v>
      </c>
      <c r="M454" s="22">
        <v>212</v>
      </c>
      <c r="N454" s="21">
        <v>310000</v>
      </c>
      <c r="O454" s="2" t="s">
        <v>3</v>
      </c>
      <c r="P454" s="2" t="s">
        <v>145</v>
      </c>
      <c r="Q454" s="2" t="s">
        <v>146</v>
      </c>
      <c r="R454" s="21">
        <f t="shared" si="63"/>
        <v>0</v>
      </c>
      <c r="S454" s="21">
        <v>0</v>
      </c>
      <c r="T454" s="5">
        <f t="shared" si="64"/>
        <v>187500</v>
      </c>
      <c r="U454">
        <f t="shared" si="65"/>
        <v>2</v>
      </c>
      <c r="V454">
        <f t="shared" si="66"/>
        <v>2</v>
      </c>
      <c r="W454" s="5">
        <f t="shared" si="67"/>
        <v>0</v>
      </c>
      <c r="X454" s="2" t="s">
        <v>6</v>
      </c>
      <c r="Y454" s="2" t="s">
        <v>2</v>
      </c>
      <c r="Z454">
        <v>943</v>
      </c>
      <c r="AA454" t="s">
        <v>1500</v>
      </c>
      <c r="AC454">
        <f t="shared" si="68"/>
        <v>2026</v>
      </c>
      <c r="AD454">
        <f t="shared" si="69"/>
        <v>2026</v>
      </c>
      <c r="AE454">
        <f t="shared" si="70"/>
        <v>2026</v>
      </c>
      <c r="AF454">
        <f t="shared" si="71"/>
        <v>2</v>
      </c>
    </row>
    <row r="455" spans="1:32" x14ac:dyDescent="0.25">
      <c r="A455" s="59">
        <v>46058.125</v>
      </c>
      <c r="B455" s="2">
        <v>1441</v>
      </c>
      <c r="C455" s="19" t="s">
        <v>753</v>
      </c>
      <c r="D455" s="19" t="s">
        <v>2</v>
      </c>
      <c r="E455" s="19" t="s">
        <v>2</v>
      </c>
      <c r="F455" s="19" t="s">
        <v>1145</v>
      </c>
      <c r="G455" s="19" t="s">
        <v>1146</v>
      </c>
      <c r="H455" s="19" t="s">
        <v>1147</v>
      </c>
      <c r="I455" s="19" t="s">
        <v>579</v>
      </c>
      <c r="J455" s="2" t="s">
        <v>2</v>
      </c>
      <c r="K455" s="20">
        <v>46084.125</v>
      </c>
      <c r="L455" s="20">
        <v>46070.125</v>
      </c>
      <c r="M455" s="22">
        <v>102</v>
      </c>
      <c r="N455" s="21">
        <v>150000</v>
      </c>
      <c r="O455" s="2" t="s">
        <v>76</v>
      </c>
      <c r="P455" s="2" t="s">
        <v>4</v>
      </c>
      <c r="Q455" s="2" t="s">
        <v>5</v>
      </c>
      <c r="R455" s="21">
        <f t="shared" si="63"/>
        <v>150000</v>
      </c>
      <c r="S455" s="21">
        <v>150000</v>
      </c>
      <c r="T455" s="5">
        <f t="shared" si="64"/>
        <v>187500</v>
      </c>
      <c r="U455">
        <f t="shared" si="65"/>
        <v>3</v>
      </c>
      <c r="V455">
        <f t="shared" si="66"/>
        <v>2</v>
      </c>
      <c r="W455" s="5">
        <f t="shared" si="67"/>
        <v>0</v>
      </c>
      <c r="X455" s="2" t="s">
        <v>6</v>
      </c>
      <c r="Y455" s="2" t="s">
        <v>2</v>
      </c>
      <c r="Z455">
        <v>950</v>
      </c>
      <c r="AC455">
        <f t="shared" si="68"/>
        <v>2026</v>
      </c>
      <c r="AD455">
        <f t="shared" si="69"/>
        <v>2026</v>
      </c>
      <c r="AE455">
        <f t="shared" si="70"/>
        <v>2026</v>
      </c>
      <c r="AF455">
        <f t="shared" si="71"/>
        <v>2</v>
      </c>
    </row>
    <row r="456" spans="1:32" x14ac:dyDescent="0.25">
      <c r="A456" s="59">
        <v>46058.125</v>
      </c>
      <c r="B456" s="2">
        <v>1442</v>
      </c>
      <c r="C456" s="19" t="s">
        <v>753</v>
      </c>
      <c r="D456" s="19" t="s">
        <v>2</v>
      </c>
      <c r="E456" s="19" t="s">
        <v>2</v>
      </c>
      <c r="F456" s="19" t="s">
        <v>1145</v>
      </c>
      <c r="G456" s="19" t="s">
        <v>1146</v>
      </c>
      <c r="H456" s="19" t="s">
        <v>1147</v>
      </c>
      <c r="I456" s="19" t="s">
        <v>579</v>
      </c>
      <c r="J456" s="2" t="s">
        <v>2</v>
      </c>
      <c r="K456" s="20">
        <v>46070.125</v>
      </c>
      <c r="L456" s="20">
        <v>46070.125</v>
      </c>
      <c r="M456" s="22">
        <v>193</v>
      </c>
      <c r="N456" s="21">
        <v>283000</v>
      </c>
      <c r="O456" s="2" t="s">
        <v>1488</v>
      </c>
      <c r="P456" s="2" t="s">
        <v>145</v>
      </c>
      <c r="Q456" s="2" t="s">
        <v>146</v>
      </c>
      <c r="R456" s="21">
        <f t="shared" si="63"/>
        <v>0</v>
      </c>
      <c r="S456" s="21">
        <v>0</v>
      </c>
      <c r="T456" s="5">
        <f t="shared" si="64"/>
        <v>187500</v>
      </c>
      <c r="U456">
        <f t="shared" si="65"/>
        <v>2</v>
      </c>
      <c r="V456">
        <f t="shared" si="66"/>
        <v>2</v>
      </c>
      <c r="W456" s="5">
        <f t="shared" si="67"/>
        <v>0</v>
      </c>
      <c r="X456" s="2" t="s">
        <v>6</v>
      </c>
      <c r="Y456" s="2" t="s">
        <v>2</v>
      </c>
      <c r="AA456" t="s">
        <v>1500</v>
      </c>
      <c r="AC456">
        <f t="shared" si="68"/>
        <v>2026</v>
      </c>
      <c r="AD456">
        <f t="shared" si="69"/>
        <v>2026</v>
      </c>
      <c r="AE456">
        <f t="shared" si="70"/>
        <v>2026</v>
      </c>
      <c r="AF456">
        <f t="shared" si="71"/>
        <v>2</v>
      </c>
    </row>
    <row r="457" spans="1:32" x14ac:dyDescent="0.25">
      <c r="A457" s="59">
        <v>46058.125</v>
      </c>
      <c r="B457" s="2">
        <v>1443</v>
      </c>
      <c r="C457" s="19" t="s">
        <v>1350</v>
      </c>
      <c r="D457" s="19" t="s">
        <v>2</v>
      </c>
      <c r="E457" s="19" t="s">
        <v>2</v>
      </c>
      <c r="F457" s="19" t="s">
        <v>672</v>
      </c>
      <c r="G457" s="19" t="s">
        <v>1437</v>
      </c>
      <c r="H457" s="19" t="s">
        <v>1438</v>
      </c>
      <c r="I457" s="19" t="s">
        <v>1439</v>
      </c>
      <c r="J457" s="2" t="s">
        <v>2</v>
      </c>
      <c r="K457" s="20">
        <v>46065.125</v>
      </c>
      <c r="L457" s="20"/>
      <c r="M457" s="22">
        <v>580</v>
      </c>
      <c r="N457" s="21">
        <v>849000</v>
      </c>
      <c r="O457" s="2" t="s">
        <v>3</v>
      </c>
      <c r="P457" s="2" t="s">
        <v>128</v>
      </c>
      <c r="Q457" s="2" t="s">
        <v>97</v>
      </c>
      <c r="R457" s="21">
        <f t="shared" si="63"/>
        <v>0</v>
      </c>
      <c r="S457" s="21">
        <v>0</v>
      </c>
      <c r="T457" s="5">
        <f t="shared" si="64"/>
        <v>187500</v>
      </c>
      <c r="U457">
        <f t="shared" si="65"/>
        <v>2</v>
      </c>
      <c r="V457">
        <f t="shared" si="66"/>
        <v>2</v>
      </c>
      <c r="W457" s="5">
        <f t="shared" si="67"/>
        <v>0</v>
      </c>
      <c r="X457" s="2" t="s">
        <v>6</v>
      </c>
      <c r="Y457" s="2" t="s">
        <v>2</v>
      </c>
      <c r="AC457">
        <f t="shared" si="68"/>
        <v>2026</v>
      </c>
      <c r="AD457">
        <f t="shared" si="69"/>
        <v>2026</v>
      </c>
      <c r="AE457" t="str">
        <f t="shared" si="70"/>
        <v/>
      </c>
      <c r="AF457" t="str">
        <f t="shared" si="71"/>
        <v/>
      </c>
    </row>
    <row r="458" spans="1:32" x14ac:dyDescent="0.25">
      <c r="A458" s="59">
        <v>46059.125</v>
      </c>
      <c r="B458" s="2">
        <v>1444</v>
      </c>
      <c r="C458" s="19" t="s">
        <v>433</v>
      </c>
      <c r="D458" s="19" t="s">
        <v>2</v>
      </c>
      <c r="E458" s="19" t="s">
        <v>2</v>
      </c>
      <c r="F458" s="19" t="s">
        <v>434</v>
      </c>
      <c r="G458" s="19" t="s">
        <v>435</v>
      </c>
      <c r="H458" s="19" t="s">
        <v>436</v>
      </c>
      <c r="I458" s="19" t="s">
        <v>437</v>
      </c>
      <c r="J458" s="2" t="s">
        <v>2</v>
      </c>
      <c r="K458" s="20">
        <v>46062.125</v>
      </c>
      <c r="L458" s="20">
        <v>46059.125</v>
      </c>
      <c r="M458" s="22">
        <v>0</v>
      </c>
      <c r="N458" s="21">
        <v>0</v>
      </c>
      <c r="O458" s="2" t="s">
        <v>3</v>
      </c>
      <c r="P458" s="2" t="s">
        <v>306</v>
      </c>
      <c r="Q458" s="2" t="s">
        <v>5</v>
      </c>
      <c r="R458" s="21">
        <f t="shared" si="63"/>
        <v>0</v>
      </c>
      <c r="S458" s="21">
        <v>0</v>
      </c>
      <c r="T458" s="5">
        <f t="shared" si="64"/>
        <v>187500</v>
      </c>
      <c r="U458">
        <f t="shared" si="65"/>
        <v>2</v>
      </c>
      <c r="V458">
        <f t="shared" si="66"/>
        <v>2</v>
      </c>
      <c r="W458" s="5">
        <f t="shared" si="67"/>
        <v>0</v>
      </c>
      <c r="X458" s="2" t="s">
        <v>6</v>
      </c>
      <c r="Y458" s="2" t="s">
        <v>2</v>
      </c>
      <c r="AC458">
        <f t="shared" si="68"/>
        <v>2026</v>
      </c>
      <c r="AD458">
        <f t="shared" si="69"/>
        <v>2026</v>
      </c>
      <c r="AE458">
        <f t="shared" si="70"/>
        <v>2026</v>
      </c>
      <c r="AF458">
        <f t="shared" si="71"/>
        <v>2</v>
      </c>
    </row>
    <row r="459" spans="1:32" x14ac:dyDescent="0.25">
      <c r="A459" s="59">
        <v>46064.125</v>
      </c>
      <c r="B459" s="2">
        <v>1445</v>
      </c>
      <c r="C459" s="19" t="s">
        <v>564</v>
      </c>
      <c r="D459" s="19" t="s">
        <v>2</v>
      </c>
      <c r="E459" s="19" t="s">
        <v>2</v>
      </c>
      <c r="F459" s="19" t="s">
        <v>1440</v>
      </c>
      <c r="G459" s="19" t="s">
        <v>195</v>
      </c>
      <c r="H459" s="19" t="s">
        <v>1441</v>
      </c>
      <c r="I459" s="19" t="s">
        <v>1442</v>
      </c>
      <c r="J459" s="2" t="s">
        <v>2</v>
      </c>
      <c r="K459" s="20">
        <v>46064.125</v>
      </c>
      <c r="L459" s="20">
        <v>46065.125</v>
      </c>
      <c r="M459" s="22">
        <v>150</v>
      </c>
      <c r="N459" s="21">
        <v>213000</v>
      </c>
      <c r="O459" s="2" t="s">
        <v>76</v>
      </c>
      <c r="P459" s="2" t="s">
        <v>4</v>
      </c>
      <c r="Q459" s="2" t="s">
        <v>5</v>
      </c>
      <c r="R459" s="21">
        <f t="shared" si="63"/>
        <v>213000</v>
      </c>
      <c r="S459" s="21">
        <v>213000</v>
      </c>
      <c r="T459" s="5">
        <f t="shared" si="64"/>
        <v>187500</v>
      </c>
      <c r="U459">
        <f t="shared" si="65"/>
        <v>2</v>
      </c>
      <c r="V459">
        <f t="shared" si="66"/>
        <v>2</v>
      </c>
      <c r="W459" s="5">
        <f t="shared" si="67"/>
        <v>0</v>
      </c>
      <c r="X459" s="2" t="s">
        <v>6</v>
      </c>
      <c r="Y459" s="2" t="s">
        <v>2</v>
      </c>
      <c r="Z459">
        <v>947</v>
      </c>
      <c r="AA459" t="s">
        <v>1677</v>
      </c>
      <c r="AC459">
        <f t="shared" si="68"/>
        <v>2026</v>
      </c>
      <c r="AD459">
        <f t="shared" si="69"/>
        <v>2026</v>
      </c>
      <c r="AE459">
        <f t="shared" si="70"/>
        <v>2026</v>
      </c>
      <c r="AF459">
        <f t="shared" si="71"/>
        <v>2</v>
      </c>
    </row>
    <row r="460" spans="1:32" x14ac:dyDescent="0.25">
      <c r="A460" s="59">
        <v>46064.125</v>
      </c>
      <c r="B460" s="2">
        <v>1446</v>
      </c>
      <c r="C460" s="19" t="s">
        <v>1732</v>
      </c>
      <c r="D460" s="19" t="s">
        <v>2</v>
      </c>
      <c r="E460" s="19" t="s">
        <v>2</v>
      </c>
      <c r="F460" s="19" t="s">
        <v>106</v>
      </c>
      <c r="G460" s="19" t="s">
        <v>107</v>
      </c>
      <c r="H460" s="19" t="s">
        <v>108</v>
      </c>
      <c r="I460" s="19" t="s">
        <v>109</v>
      </c>
      <c r="J460" s="2" t="s">
        <v>2</v>
      </c>
      <c r="K460" s="20">
        <v>46064.125</v>
      </c>
      <c r="L460" s="20"/>
      <c r="M460" s="22">
        <v>350</v>
      </c>
      <c r="N460" s="21">
        <v>497000</v>
      </c>
      <c r="O460" s="2" t="s">
        <v>3</v>
      </c>
      <c r="P460" s="2" t="s">
        <v>128</v>
      </c>
      <c r="Q460" s="2" t="s">
        <v>97</v>
      </c>
      <c r="R460" s="21">
        <f t="shared" si="63"/>
        <v>0</v>
      </c>
      <c r="S460" s="21">
        <v>0</v>
      </c>
      <c r="T460" s="5">
        <f t="shared" si="64"/>
        <v>187500</v>
      </c>
      <c r="U460">
        <f t="shared" si="65"/>
        <v>2</v>
      </c>
      <c r="V460">
        <f t="shared" si="66"/>
        <v>2</v>
      </c>
      <c r="W460" s="5">
        <f t="shared" si="67"/>
        <v>0</v>
      </c>
      <c r="X460" s="2" t="s">
        <v>6</v>
      </c>
      <c r="Y460" s="2" t="s">
        <v>2</v>
      </c>
      <c r="AC460">
        <f t="shared" si="68"/>
        <v>2026</v>
      </c>
      <c r="AD460">
        <f t="shared" si="69"/>
        <v>2026</v>
      </c>
      <c r="AE460" t="str">
        <f t="shared" si="70"/>
        <v/>
      </c>
      <c r="AF460" t="str">
        <f t="shared" si="71"/>
        <v/>
      </c>
    </row>
    <row r="461" spans="1:32" x14ac:dyDescent="0.25">
      <c r="A461" s="59">
        <v>46064.125</v>
      </c>
      <c r="B461" s="2">
        <v>1447</v>
      </c>
      <c r="C461" s="19" t="s">
        <v>1732</v>
      </c>
      <c r="D461" s="19" t="s">
        <v>2</v>
      </c>
      <c r="E461" s="19" t="s">
        <v>1457</v>
      </c>
      <c r="F461" s="19" t="s">
        <v>1218</v>
      </c>
      <c r="G461" s="19" t="s">
        <v>456</v>
      </c>
      <c r="H461" s="19" t="s">
        <v>543</v>
      </c>
      <c r="I461" s="19" t="s">
        <v>1443</v>
      </c>
      <c r="J461" s="2" t="s">
        <v>2</v>
      </c>
      <c r="K461" s="20">
        <v>46064.125</v>
      </c>
      <c r="L461" s="20">
        <v>46070.125</v>
      </c>
      <c r="M461" s="22">
        <v>420</v>
      </c>
      <c r="N461" s="21">
        <v>590000</v>
      </c>
      <c r="O461" s="2" t="s">
        <v>76</v>
      </c>
      <c r="P461" s="2" t="s">
        <v>4</v>
      </c>
      <c r="Q461" s="2" t="s">
        <v>5</v>
      </c>
      <c r="R461" s="21">
        <f t="shared" si="63"/>
        <v>590000</v>
      </c>
      <c r="S461" s="21">
        <v>590000</v>
      </c>
      <c r="T461" s="5">
        <f t="shared" si="64"/>
        <v>187500</v>
      </c>
      <c r="U461">
        <f t="shared" si="65"/>
        <v>2</v>
      </c>
      <c r="V461">
        <f t="shared" si="66"/>
        <v>2</v>
      </c>
      <c r="W461" s="5">
        <f t="shared" si="67"/>
        <v>0</v>
      </c>
      <c r="X461" s="2" t="s">
        <v>6</v>
      </c>
      <c r="Y461" s="2" t="s">
        <v>2</v>
      </c>
      <c r="Z461">
        <v>949</v>
      </c>
      <c r="AA461" t="s">
        <v>1507</v>
      </c>
      <c r="AC461">
        <f t="shared" si="68"/>
        <v>2026</v>
      </c>
      <c r="AD461">
        <f t="shared" si="69"/>
        <v>2026</v>
      </c>
      <c r="AE461">
        <f t="shared" si="70"/>
        <v>2026</v>
      </c>
      <c r="AF461">
        <f t="shared" si="71"/>
        <v>2</v>
      </c>
    </row>
    <row r="462" spans="1:32" x14ac:dyDescent="0.25">
      <c r="A462" s="59">
        <v>46065.125</v>
      </c>
      <c r="B462" s="2">
        <v>1448</v>
      </c>
      <c r="C462" s="19" t="s">
        <v>1444</v>
      </c>
      <c r="D462" s="19" t="s">
        <v>2</v>
      </c>
      <c r="E462" s="19" t="s">
        <v>2</v>
      </c>
      <c r="F462" s="19" t="s">
        <v>1445</v>
      </c>
      <c r="G462" s="19" t="s">
        <v>177</v>
      </c>
      <c r="H462" s="19" t="s">
        <v>1446</v>
      </c>
      <c r="I462" s="19" t="s">
        <v>1447</v>
      </c>
      <c r="J462" s="2" t="s">
        <v>2</v>
      </c>
      <c r="K462" s="20">
        <v>46065.125</v>
      </c>
      <c r="L462" s="20">
        <v>46070.125</v>
      </c>
      <c r="M462" s="22">
        <v>150</v>
      </c>
      <c r="N462" s="21">
        <v>212000</v>
      </c>
      <c r="O462" s="2" t="s">
        <v>76</v>
      </c>
      <c r="P462" s="2" t="s">
        <v>4</v>
      </c>
      <c r="Q462" s="2" t="s">
        <v>5</v>
      </c>
      <c r="R462" s="21">
        <f t="shared" si="63"/>
        <v>212000</v>
      </c>
      <c r="S462" s="21">
        <v>212000</v>
      </c>
      <c r="T462" s="5">
        <f t="shared" si="64"/>
        <v>187500</v>
      </c>
      <c r="U462">
        <f t="shared" si="65"/>
        <v>2</v>
      </c>
      <c r="V462">
        <f t="shared" si="66"/>
        <v>2</v>
      </c>
      <c r="W462" s="5">
        <f t="shared" si="67"/>
        <v>0</v>
      </c>
      <c r="X462" s="2" t="s">
        <v>6</v>
      </c>
      <c r="Y462" s="2" t="s">
        <v>2</v>
      </c>
      <c r="Z462">
        <v>948</v>
      </c>
      <c r="AA462" t="s">
        <v>1678</v>
      </c>
      <c r="AC462">
        <f t="shared" si="68"/>
        <v>2026</v>
      </c>
      <c r="AD462">
        <f t="shared" si="69"/>
        <v>2026</v>
      </c>
      <c r="AE462">
        <f t="shared" si="70"/>
        <v>2026</v>
      </c>
      <c r="AF462">
        <f t="shared" si="71"/>
        <v>2</v>
      </c>
    </row>
    <row r="463" spans="1:32" x14ac:dyDescent="0.25">
      <c r="A463" s="59">
        <v>46071.125</v>
      </c>
      <c r="B463" s="2">
        <v>1449</v>
      </c>
      <c r="C463" s="19" t="s">
        <v>1448</v>
      </c>
      <c r="D463" s="19" t="s">
        <v>2</v>
      </c>
      <c r="E463" s="19" t="s">
        <v>2</v>
      </c>
      <c r="F463" s="19" t="s">
        <v>1449</v>
      </c>
      <c r="G463" s="19" t="s">
        <v>607</v>
      </c>
      <c r="H463" s="19" t="s">
        <v>1450</v>
      </c>
      <c r="I463" s="19" t="s">
        <v>1451</v>
      </c>
      <c r="J463" s="2" t="s">
        <v>2</v>
      </c>
      <c r="K463" s="20">
        <v>46121.125</v>
      </c>
      <c r="L463" s="20">
        <v>46081.125</v>
      </c>
      <c r="M463" s="22">
        <v>1500</v>
      </c>
      <c r="N463" s="21">
        <v>2250000</v>
      </c>
      <c r="O463" s="2" t="s">
        <v>76</v>
      </c>
      <c r="P463" s="2" t="s">
        <v>4</v>
      </c>
      <c r="Q463" s="2" t="s">
        <v>5</v>
      </c>
      <c r="R463" s="21">
        <f t="shared" si="63"/>
        <v>2250000</v>
      </c>
      <c r="S463" s="21">
        <v>2250000</v>
      </c>
      <c r="T463" s="5">
        <f t="shared" si="64"/>
        <v>187500</v>
      </c>
      <c r="U463">
        <f t="shared" si="65"/>
        <v>4</v>
      </c>
      <c r="V463">
        <f t="shared" si="66"/>
        <v>2</v>
      </c>
      <c r="W463" s="5">
        <f t="shared" si="67"/>
        <v>0</v>
      </c>
      <c r="X463" s="2" t="s">
        <v>6</v>
      </c>
      <c r="Y463" s="2" t="s">
        <v>2</v>
      </c>
      <c r="Z463">
        <v>971</v>
      </c>
      <c r="AA463" t="s">
        <v>1508</v>
      </c>
      <c r="AC463">
        <f t="shared" si="68"/>
        <v>2026</v>
      </c>
      <c r="AD463">
        <f t="shared" si="69"/>
        <v>2026</v>
      </c>
      <c r="AE463">
        <f t="shared" si="70"/>
        <v>2026</v>
      </c>
      <c r="AF463">
        <f t="shared" si="71"/>
        <v>2</v>
      </c>
    </row>
    <row r="464" spans="1:32" x14ac:dyDescent="0.25">
      <c r="A464" s="59">
        <v>46071.125</v>
      </c>
      <c r="B464" s="2">
        <v>1450</v>
      </c>
      <c r="C464" s="19" t="s">
        <v>1452</v>
      </c>
      <c r="D464" s="19" t="s">
        <v>2</v>
      </c>
      <c r="E464" s="19" t="s">
        <v>2</v>
      </c>
      <c r="F464" s="19" t="s">
        <v>1453</v>
      </c>
      <c r="G464" s="19" t="s">
        <v>237</v>
      </c>
      <c r="H464" s="19" t="s">
        <v>1454</v>
      </c>
      <c r="I464" s="19" t="s">
        <v>1455</v>
      </c>
      <c r="J464" s="2" t="s">
        <v>2</v>
      </c>
      <c r="K464" s="20">
        <v>46109.125</v>
      </c>
      <c r="L464" s="20">
        <v>46073.125</v>
      </c>
      <c r="M464" s="22">
        <v>138</v>
      </c>
      <c r="N464" s="21">
        <v>196000</v>
      </c>
      <c r="O464" s="2" t="s">
        <v>76</v>
      </c>
      <c r="P464" s="2" t="s">
        <v>4</v>
      </c>
      <c r="Q464" s="2" t="s">
        <v>5</v>
      </c>
      <c r="R464" s="21">
        <f t="shared" si="63"/>
        <v>196000</v>
      </c>
      <c r="S464" s="21">
        <v>196000</v>
      </c>
      <c r="T464" s="5">
        <f t="shared" si="64"/>
        <v>187500</v>
      </c>
      <c r="U464">
        <f t="shared" si="65"/>
        <v>3</v>
      </c>
      <c r="V464">
        <f t="shared" si="66"/>
        <v>2</v>
      </c>
      <c r="W464" s="5">
        <f t="shared" si="67"/>
        <v>0</v>
      </c>
      <c r="X464" s="2" t="s">
        <v>6</v>
      </c>
      <c r="Y464" s="2" t="s">
        <v>2</v>
      </c>
      <c r="AA464" t="s">
        <v>1679</v>
      </c>
      <c r="AC464">
        <f t="shared" si="68"/>
        <v>2026</v>
      </c>
      <c r="AD464">
        <f t="shared" si="69"/>
        <v>2026</v>
      </c>
      <c r="AE464">
        <f t="shared" si="70"/>
        <v>2026</v>
      </c>
      <c r="AF464">
        <f t="shared" si="71"/>
        <v>2</v>
      </c>
    </row>
    <row r="465" spans="1:32" x14ac:dyDescent="0.25">
      <c r="A465" s="59">
        <v>46073.125</v>
      </c>
      <c r="B465" s="2">
        <v>1451</v>
      </c>
      <c r="C465" s="19" t="s">
        <v>1185</v>
      </c>
      <c r="D465" s="19" t="s">
        <v>2</v>
      </c>
      <c r="E465" s="19" t="s">
        <v>2</v>
      </c>
      <c r="F465" s="19" t="s">
        <v>86</v>
      </c>
      <c r="G465" s="19" t="s">
        <v>351</v>
      </c>
      <c r="H465" s="19" t="s">
        <v>430</v>
      </c>
      <c r="I465" s="19" t="s">
        <v>1456</v>
      </c>
      <c r="J465" s="2" t="s">
        <v>2</v>
      </c>
      <c r="K465" s="20">
        <v>46073.125</v>
      </c>
      <c r="L465" s="20">
        <v>46081.125</v>
      </c>
      <c r="M465" s="22">
        <v>156</v>
      </c>
      <c r="N465" s="21">
        <v>220000</v>
      </c>
      <c r="O465" s="2" t="s">
        <v>76</v>
      </c>
      <c r="P465" s="2" t="s">
        <v>4</v>
      </c>
      <c r="Q465" s="2" t="s">
        <v>5</v>
      </c>
      <c r="R465" s="21">
        <f t="shared" si="63"/>
        <v>220000</v>
      </c>
      <c r="S465" s="21">
        <v>220000</v>
      </c>
      <c r="T465" s="5">
        <f t="shared" si="64"/>
        <v>187500</v>
      </c>
      <c r="U465">
        <f t="shared" si="65"/>
        <v>2</v>
      </c>
      <c r="V465">
        <f t="shared" si="66"/>
        <v>2</v>
      </c>
      <c r="W465" s="5">
        <f t="shared" si="67"/>
        <v>0</v>
      </c>
      <c r="X465" s="2" t="s">
        <v>6</v>
      </c>
      <c r="Y465" s="2" t="s">
        <v>2</v>
      </c>
      <c r="Z465">
        <v>951</v>
      </c>
      <c r="AA465" t="s">
        <v>1680</v>
      </c>
      <c r="AC465">
        <f t="shared" si="68"/>
        <v>2026</v>
      </c>
      <c r="AD465">
        <f t="shared" si="69"/>
        <v>2026</v>
      </c>
      <c r="AE465">
        <f t="shared" si="70"/>
        <v>2026</v>
      </c>
      <c r="AF465">
        <f t="shared" si="71"/>
        <v>2</v>
      </c>
    </row>
    <row r="466" spans="1:32" x14ac:dyDescent="0.25">
      <c r="A466" s="59">
        <v>46078.125</v>
      </c>
      <c r="B466" s="2">
        <v>1452</v>
      </c>
      <c r="C466" s="19" t="s">
        <v>799</v>
      </c>
      <c r="D466" s="19" t="s">
        <v>2</v>
      </c>
      <c r="E466" s="19" t="s">
        <v>2</v>
      </c>
      <c r="F466" s="19" t="s">
        <v>359</v>
      </c>
      <c r="G466" s="19" t="s">
        <v>327</v>
      </c>
      <c r="H466" s="19" t="s">
        <v>360</v>
      </c>
      <c r="I466" s="19" t="s">
        <v>1458</v>
      </c>
      <c r="J466" s="2" t="s">
        <v>2</v>
      </c>
      <c r="K466" s="20">
        <v>46078.125</v>
      </c>
      <c r="L466" s="20">
        <v>46091.125</v>
      </c>
      <c r="M466" s="22">
        <v>160</v>
      </c>
      <c r="N466" s="21">
        <v>220000</v>
      </c>
      <c r="O466" s="2" t="s">
        <v>76</v>
      </c>
      <c r="P466" s="2" t="s">
        <v>4</v>
      </c>
      <c r="Q466" s="2" t="s">
        <v>5</v>
      </c>
      <c r="R466" s="21">
        <f t="shared" si="63"/>
        <v>220000</v>
      </c>
      <c r="S466" s="21">
        <v>220000</v>
      </c>
      <c r="T466" s="5">
        <f t="shared" si="64"/>
        <v>187500</v>
      </c>
      <c r="U466">
        <f t="shared" si="65"/>
        <v>2</v>
      </c>
      <c r="V466">
        <f t="shared" si="66"/>
        <v>2</v>
      </c>
      <c r="W466" s="5">
        <f t="shared" si="67"/>
        <v>0</v>
      </c>
      <c r="X466" s="2" t="s">
        <v>6</v>
      </c>
      <c r="Y466" s="2" t="s">
        <v>2</v>
      </c>
      <c r="AA466" t="s">
        <v>1681</v>
      </c>
      <c r="AC466">
        <f t="shared" si="68"/>
        <v>2026</v>
      </c>
      <c r="AD466">
        <f t="shared" si="69"/>
        <v>2026</v>
      </c>
      <c r="AE466">
        <f t="shared" si="70"/>
        <v>2026</v>
      </c>
      <c r="AF466">
        <f t="shared" si="71"/>
        <v>3</v>
      </c>
    </row>
    <row r="467" spans="1:32" x14ac:dyDescent="0.25">
      <c r="A467" s="59">
        <v>46078.125</v>
      </c>
      <c r="B467" s="2">
        <v>1453</v>
      </c>
      <c r="C467" s="19" t="s">
        <v>1459</v>
      </c>
      <c r="D467" s="19" t="s">
        <v>2</v>
      </c>
      <c r="E467" s="19" t="s">
        <v>2</v>
      </c>
      <c r="F467" s="19" t="s">
        <v>464</v>
      </c>
      <c r="G467" s="19" t="s">
        <v>107</v>
      </c>
      <c r="H467" s="19" t="s">
        <v>265</v>
      </c>
      <c r="I467" s="19" t="s">
        <v>1460</v>
      </c>
      <c r="J467" s="2" t="s">
        <v>2</v>
      </c>
      <c r="K467" s="20">
        <v>46080.125</v>
      </c>
      <c r="L467" s="20">
        <v>46080.125</v>
      </c>
      <c r="M467" s="22">
        <v>340</v>
      </c>
      <c r="N467" s="21">
        <v>480000</v>
      </c>
      <c r="O467" s="2" t="s">
        <v>3</v>
      </c>
      <c r="P467" s="2" t="s">
        <v>4</v>
      </c>
      <c r="Q467" s="2" t="s">
        <v>5</v>
      </c>
      <c r="R467" s="21">
        <f t="shared" si="63"/>
        <v>480000</v>
      </c>
      <c r="S467" s="21">
        <v>480000</v>
      </c>
      <c r="T467" s="5">
        <f t="shared" si="64"/>
        <v>187500</v>
      </c>
      <c r="U467">
        <f t="shared" si="65"/>
        <v>2</v>
      </c>
      <c r="V467">
        <f t="shared" si="66"/>
        <v>2</v>
      </c>
      <c r="W467" s="5">
        <f t="shared" si="67"/>
        <v>0</v>
      </c>
      <c r="X467" s="2" t="s">
        <v>6</v>
      </c>
      <c r="Y467" s="2" t="s">
        <v>2</v>
      </c>
      <c r="Z467">
        <v>955</v>
      </c>
      <c r="AA467" t="s">
        <v>1509</v>
      </c>
      <c r="AC467">
        <f t="shared" si="68"/>
        <v>2026</v>
      </c>
      <c r="AD467">
        <f t="shared" si="69"/>
        <v>2026</v>
      </c>
      <c r="AE467">
        <f t="shared" si="70"/>
        <v>2026</v>
      </c>
      <c r="AF467">
        <f t="shared" si="71"/>
        <v>2</v>
      </c>
    </row>
    <row r="468" spans="1:32" x14ac:dyDescent="0.25">
      <c r="A468" s="59">
        <v>46080.125</v>
      </c>
      <c r="B468" s="2">
        <v>1454</v>
      </c>
      <c r="C468" s="19" t="s">
        <v>0</v>
      </c>
      <c r="D468" s="19" t="s">
        <v>111</v>
      </c>
      <c r="E468" s="19" t="s">
        <v>1682</v>
      </c>
      <c r="F468" s="19" t="s">
        <v>1461</v>
      </c>
      <c r="G468" s="19" t="s">
        <v>1462</v>
      </c>
      <c r="H468" s="19" t="s">
        <v>1463</v>
      </c>
      <c r="I468" s="19" t="s">
        <v>1464</v>
      </c>
      <c r="J468" s="2" t="s">
        <v>1683</v>
      </c>
      <c r="K468" s="20">
        <v>46094.125</v>
      </c>
      <c r="L468" s="20">
        <v>46086.125</v>
      </c>
      <c r="M468" s="22">
        <v>290</v>
      </c>
      <c r="N468" s="21">
        <v>435000</v>
      </c>
      <c r="O468" s="2" t="s">
        <v>76</v>
      </c>
      <c r="P468" s="2" t="s">
        <v>4</v>
      </c>
      <c r="Q468" s="2" t="s">
        <v>5</v>
      </c>
      <c r="R468" s="21">
        <f t="shared" si="63"/>
        <v>435000</v>
      </c>
      <c r="S468" s="21">
        <v>0</v>
      </c>
      <c r="T468" s="5">
        <f t="shared" si="64"/>
        <v>622500</v>
      </c>
      <c r="U468">
        <f t="shared" si="65"/>
        <v>3</v>
      </c>
      <c r="V468">
        <f t="shared" si="66"/>
        <v>2</v>
      </c>
      <c r="W468" s="5">
        <f t="shared" si="67"/>
        <v>-435000</v>
      </c>
      <c r="X468" s="2" t="s">
        <v>6</v>
      </c>
      <c r="Y468" s="2" t="s">
        <v>2</v>
      </c>
      <c r="AA468" t="s">
        <v>1500</v>
      </c>
      <c r="AC468">
        <f t="shared" si="68"/>
        <v>2026</v>
      </c>
      <c r="AD468">
        <f t="shared" si="69"/>
        <v>2026</v>
      </c>
      <c r="AE468">
        <f t="shared" si="70"/>
        <v>2026</v>
      </c>
      <c r="AF468">
        <f t="shared" si="71"/>
        <v>3</v>
      </c>
    </row>
    <row r="469" spans="1:32" x14ac:dyDescent="0.25">
      <c r="A469" s="59">
        <v>46080.125</v>
      </c>
      <c r="B469" s="2">
        <v>1455</v>
      </c>
      <c r="C469" s="19" t="s">
        <v>1465</v>
      </c>
      <c r="D469" s="19" t="s">
        <v>2</v>
      </c>
      <c r="E469" s="19" t="s">
        <v>2</v>
      </c>
      <c r="F469" s="19" t="s">
        <v>1466</v>
      </c>
      <c r="G469" s="19" t="s">
        <v>1467</v>
      </c>
      <c r="H469" s="19" t="s">
        <v>1468</v>
      </c>
      <c r="I469" s="19" t="s">
        <v>1469</v>
      </c>
      <c r="J469" s="2" t="s">
        <v>2</v>
      </c>
      <c r="K469" s="20">
        <v>46099.125</v>
      </c>
      <c r="L469" s="20">
        <v>46092.125</v>
      </c>
      <c r="M469" s="22">
        <v>370</v>
      </c>
      <c r="N469" s="21">
        <v>525000</v>
      </c>
      <c r="O469" s="2" t="s">
        <v>76</v>
      </c>
      <c r="P469" s="2" t="s">
        <v>4</v>
      </c>
      <c r="Q469" s="2" t="s">
        <v>5</v>
      </c>
      <c r="R469" s="21">
        <f t="shared" si="63"/>
        <v>525000</v>
      </c>
      <c r="S469" s="21">
        <v>525000</v>
      </c>
      <c r="T469" s="5">
        <f t="shared" si="64"/>
        <v>622500</v>
      </c>
      <c r="U469">
        <f t="shared" si="65"/>
        <v>3</v>
      </c>
      <c r="V469">
        <f t="shared" si="66"/>
        <v>2</v>
      </c>
      <c r="W469" s="5">
        <f t="shared" si="67"/>
        <v>0</v>
      </c>
      <c r="X469" s="2" t="s">
        <v>6</v>
      </c>
      <c r="Y469" s="2" t="s">
        <v>2</v>
      </c>
      <c r="Z469">
        <v>961</v>
      </c>
      <c r="AA469" t="s">
        <v>1500</v>
      </c>
      <c r="AC469">
        <f t="shared" si="68"/>
        <v>2026</v>
      </c>
      <c r="AD469">
        <f t="shared" si="69"/>
        <v>2026</v>
      </c>
      <c r="AE469">
        <f t="shared" si="70"/>
        <v>2026</v>
      </c>
      <c r="AF469">
        <f t="shared" si="71"/>
        <v>3</v>
      </c>
    </row>
    <row r="470" spans="1:32" x14ac:dyDescent="0.25">
      <c r="A470" s="59">
        <v>46084.125</v>
      </c>
      <c r="B470" s="2">
        <v>1456</v>
      </c>
      <c r="C470" s="19" t="s">
        <v>1276</v>
      </c>
      <c r="D470" s="19" t="s">
        <v>2</v>
      </c>
      <c r="E470" s="19" t="s">
        <v>2</v>
      </c>
      <c r="F470" s="19" t="s">
        <v>1470</v>
      </c>
      <c r="G470" s="19" t="s">
        <v>750</v>
      </c>
      <c r="H470" s="19" t="s">
        <v>1471</v>
      </c>
      <c r="I470" s="19" t="s">
        <v>1472</v>
      </c>
      <c r="J470" s="2" t="s">
        <v>2</v>
      </c>
      <c r="K470" s="20">
        <v>46090.125</v>
      </c>
      <c r="L470" s="20">
        <v>46086.125</v>
      </c>
      <c r="M470" s="22">
        <v>190</v>
      </c>
      <c r="N470" s="21">
        <v>270000</v>
      </c>
      <c r="O470" s="2" t="s">
        <v>76</v>
      </c>
      <c r="P470" s="2" t="s">
        <v>4</v>
      </c>
      <c r="Q470" s="2" t="s">
        <v>5</v>
      </c>
      <c r="R470" s="21">
        <f t="shared" si="63"/>
        <v>270000</v>
      </c>
      <c r="S470" s="21">
        <v>270000</v>
      </c>
      <c r="T470" s="5">
        <f t="shared" si="64"/>
        <v>622500</v>
      </c>
      <c r="U470">
        <f t="shared" si="65"/>
        <v>3</v>
      </c>
      <c r="V470">
        <f t="shared" si="66"/>
        <v>3</v>
      </c>
      <c r="W470" s="5">
        <f t="shared" si="67"/>
        <v>0</v>
      </c>
      <c r="X470" s="2" t="s">
        <v>6</v>
      </c>
      <c r="Y470" s="2" t="s">
        <v>2</v>
      </c>
      <c r="Z470">
        <v>956</v>
      </c>
      <c r="AA470" t="s">
        <v>1684</v>
      </c>
      <c r="AC470">
        <f t="shared" si="68"/>
        <v>2026</v>
      </c>
      <c r="AD470">
        <f t="shared" si="69"/>
        <v>2026</v>
      </c>
      <c r="AE470">
        <f t="shared" si="70"/>
        <v>2026</v>
      </c>
      <c r="AF470">
        <f t="shared" si="71"/>
        <v>3</v>
      </c>
    </row>
    <row r="471" spans="1:32" x14ac:dyDescent="0.25">
      <c r="A471" s="59">
        <v>46084.125</v>
      </c>
      <c r="B471" s="2">
        <v>1457</v>
      </c>
      <c r="C471" s="19" t="s">
        <v>1000</v>
      </c>
      <c r="D471" s="19" t="s">
        <v>2</v>
      </c>
      <c r="E471" s="19" t="s">
        <v>2</v>
      </c>
      <c r="F471" s="19" t="s">
        <v>86</v>
      </c>
      <c r="G471" s="19" t="s">
        <v>280</v>
      </c>
      <c r="H471" s="19" t="s">
        <v>589</v>
      </c>
      <c r="I471" s="19" t="s">
        <v>1473</v>
      </c>
      <c r="J471" s="2" t="s">
        <v>2</v>
      </c>
      <c r="K471" s="20">
        <v>46086.125</v>
      </c>
      <c r="L471" s="20">
        <v>46086.125</v>
      </c>
      <c r="M471" s="22">
        <v>165</v>
      </c>
      <c r="N471" s="21">
        <v>235000</v>
      </c>
      <c r="O471" s="2" t="s">
        <v>76</v>
      </c>
      <c r="P471" s="2" t="s">
        <v>4</v>
      </c>
      <c r="Q471" s="2" t="s">
        <v>5</v>
      </c>
      <c r="R471" s="21">
        <f t="shared" si="63"/>
        <v>235000</v>
      </c>
      <c r="S471" s="21">
        <v>235000</v>
      </c>
      <c r="T471" s="5">
        <f t="shared" si="64"/>
        <v>622500</v>
      </c>
      <c r="U471">
        <f t="shared" si="65"/>
        <v>3</v>
      </c>
      <c r="V471">
        <f t="shared" si="66"/>
        <v>3</v>
      </c>
      <c r="W471" s="5">
        <f t="shared" si="67"/>
        <v>0</v>
      </c>
      <c r="X471" s="2" t="s">
        <v>6</v>
      </c>
      <c r="Y471" s="2" t="s">
        <v>2</v>
      </c>
      <c r="Z471">
        <v>952</v>
      </c>
      <c r="AA471" t="s">
        <v>1500</v>
      </c>
      <c r="AC471">
        <f t="shared" si="68"/>
        <v>2026</v>
      </c>
      <c r="AD471">
        <f t="shared" si="69"/>
        <v>2026</v>
      </c>
      <c r="AE471">
        <f t="shared" si="70"/>
        <v>2026</v>
      </c>
      <c r="AF471">
        <f t="shared" si="71"/>
        <v>3</v>
      </c>
    </row>
    <row r="472" spans="1:32" x14ac:dyDescent="0.25">
      <c r="A472" s="59">
        <v>46087.125</v>
      </c>
      <c r="B472" s="2">
        <v>1458</v>
      </c>
      <c r="C472" s="19" t="s">
        <v>799</v>
      </c>
      <c r="D472" s="19" t="s">
        <v>2</v>
      </c>
      <c r="E472" s="19" t="s">
        <v>2</v>
      </c>
      <c r="F472" s="19" t="s">
        <v>272</v>
      </c>
      <c r="G472" s="19" t="s">
        <v>351</v>
      </c>
      <c r="H472" s="19" t="s">
        <v>1076</v>
      </c>
      <c r="I472" s="19" t="s">
        <v>1474</v>
      </c>
      <c r="J472" s="2" t="s">
        <v>2</v>
      </c>
      <c r="K472" s="20">
        <v>46087.125</v>
      </c>
      <c r="L472" s="20">
        <v>46091.125</v>
      </c>
      <c r="M472" s="22">
        <v>207</v>
      </c>
      <c r="N472" s="21">
        <v>298000</v>
      </c>
      <c r="O472" s="2" t="s">
        <v>76</v>
      </c>
      <c r="P472" s="2" t="s">
        <v>4</v>
      </c>
      <c r="Q472" s="2" t="s">
        <v>5</v>
      </c>
      <c r="R472" s="21">
        <f t="shared" si="63"/>
        <v>298000</v>
      </c>
      <c r="S472" s="21">
        <v>298000</v>
      </c>
      <c r="T472" s="5">
        <f t="shared" si="64"/>
        <v>622500</v>
      </c>
      <c r="U472">
        <f t="shared" si="65"/>
        <v>3</v>
      </c>
      <c r="V472">
        <f t="shared" si="66"/>
        <v>3</v>
      </c>
      <c r="W472" s="5">
        <f t="shared" si="67"/>
        <v>0</v>
      </c>
      <c r="X472" s="2" t="s">
        <v>6</v>
      </c>
      <c r="Y472" s="2" t="s">
        <v>2</v>
      </c>
      <c r="Z472">
        <v>954</v>
      </c>
      <c r="AA472" t="s">
        <v>1685</v>
      </c>
      <c r="AC472">
        <f t="shared" si="68"/>
        <v>2026</v>
      </c>
      <c r="AD472">
        <f t="shared" si="69"/>
        <v>2026</v>
      </c>
      <c r="AE472">
        <f t="shared" si="70"/>
        <v>2026</v>
      </c>
      <c r="AF472">
        <f t="shared" si="71"/>
        <v>3</v>
      </c>
    </row>
    <row r="473" spans="1:32" x14ac:dyDescent="0.25">
      <c r="A473" s="59">
        <v>46090.125</v>
      </c>
      <c r="B473" s="2">
        <v>1459</v>
      </c>
      <c r="C473" s="19" t="s">
        <v>1475</v>
      </c>
      <c r="D473" s="19" t="s">
        <v>2</v>
      </c>
      <c r="E473" s="19" t="s">
        <v>2</v>
      </c>
      <c r="F473" s="19" t="s">
        <v>1476</v>
      </c>
      <c r="G473" s="19" t="s">
        <v>550</v>
      </c>
      <c r="H473" s="19" t="s">
        <v>1477</v>
      </c>
      <c r="I473" s="19" t="s">
        <v>579</v>
      </c>
      <c r="J473" s="2" t="s">
        <v>2</v>
      </c>
      <c r="K473" s="20">
        <v>46109.125</v>
      </c>
      <c r="L473" s="20">
        <v>46091.125</v>
      </c>
      <c r="M473" s="22">
        <v>137</v>
      </c>
      <c r="N473" s="21">
        <v>198000</v>
      </c>
      <c r="O473" s="2" t="s">
        <v>76</v>
      </c>
      <c r="P473" s="2" t="s">
        <v>4</v>
      </c>
      <c r="Q473" s="2" t="s">
        <v>5</v>
      </c>
      <c r="R473" s="21">
        <f t="shared" si="63"/>
        <v>198000</v>
      </c>
      <c r="S473" s="21">
        <v>198000</v>
      </c>
      <c r="T473" s="5">
        <f t="shared" si="64"/>
        <v>622500</v>
      </c>
      <c r="U473">
        <f t="shared" si="65"/>
        <v>3</v>
      </c>
      <c r="V473">
        <f t="shared" si="66"/>
        <v>3</v>
      </c>
      <c r="W473" s="5">
        <f t="shared" si="67"/>
        <v>0</v>
      </c>
      <c r="X473" s="2" t="s">
        <v>6</v>
      </c>
      <c r="Y473" s="2" t="s">
        <v>2</v>
      </c>
      <c r="AA473" t="s">
        <v>1500</v>
      </c>
      <c r="AC473">
        <f t="shared" si="68"/>
        <v>2026</v>
      </c>
      <c r="AD473">
        <f t="shared" si="69"/>
        <v>2026</v>
      </c>
      <c r="AE473">
        <f t="shared" si="70"/>
        <v>2026</v>
      </c>
      <c r="AF473">
        <f t="shared" si="71"/>
        <v>3</v>
      </c>
    </row>
    <row r="474" spans="1:32" x14ac:dyDescent="0.25">
      <c r="A474" s="59">
        <v>46091.125</v>
      </c>
      <c r="B474" s="2">
        <v>1460</v>
      </c>
      <c r="C474" s="19" t="s">
        <v>367</v>
      </c>
      <c r="D474" s="19" t="s">
        <v>2</v>
      </c>
      <c r="E474" s="19" t="s">
        <v>2</v>
      </c>
      <c r="F474" s="19" t="s">
        <v>1466</v>
      </c>
      <c r="G474" s="19" t="s">
        <v>585</v>
      </c>
      <c r="H474" s="19" t="s">
        <v>586</v>
      </c>
      <c r="I474" s="19" t="s">
        <v>1478</v>
      </c>
      <c r="J474" s="2" t="s">
        <v>2</v>
      </c>
      <c r="K474" s="20">
        <v>46094.125</v>
      </c>
      <c r="L474" s="20">
        <v>46094.125</v>
      </c>
      <c r="M474" s="22">
        <v>190</v>
      </c>
      <c r="N474" s="21">
        <v>270000</v>
      </c>
      <c r="O474" s="2" t="s">
        <v>3</v>
      </c>
      <c r="P474" s="2" t="s">
        <v>4</v>
      </c>
      <c r="Q474" s="2" t="s">
        <v>5</v>
      </c>
      <c r="R474" s="21">
        <f t="shared" si="63"/>
        <v>270000</v>
      </c>
      <c r="S474" s="21">
        <v>270000</v>
      </c>
      <c r="T474" s="5">
        <f t="shared" si="64"/>
        <v>622500</v>
      </c>
      <c r="U474">
        <f t="shared" si="65"/>
        <v>3</v>
      </c>
      <c r="V474">
        <f t="shared" si="66"/>
        <v>3</v>
      </c>
      <c r="W474" s="5">
        <f t="shared" si="67"/>
        <v>0</v>
      </c>
      <c r="X474" s="2" t="s">
        <v>6</v>
      </c>
      <c r="Y474" s="2" t="s">
        <v>2</v>
      </c>
      <c r="Z474">
        <v>957</v>
      </c>
      <c r="AA474" t="s">
        <v>1686</v>
      </c>
      <c r="AC474">
        <f t="shared" si="68"/>
        <v>2026</v>
      </c>
      <c r="AD474">
        <f t="shared" si="69"/>
        <v>2026</v>
      </c>
      <c r="AE474">
        <f t="shared" si="70"/>
        <v>2026</v>
      </c>
      <c r="AF474">
        <f t="shared" si="71"/>
        <v>3</v>
      </c>
    </row>
    <row r="475" spans="1:32" x14ac:dyDescent="0.25">
      <c r="A475" s="59">
        <v>46091.125</v>
      </c>
      <c r="B475" s="2">
        <v>1461</v>
      </c>
      <c r="C475" s="19" t="s">
        <v>1479</v>
      </c>
      <c r="D475" s="19" t="s">
        <v>2</v>
      </c>
      <c r="E475" s="19" t="s">
        <v>2</v>
      </c>
      <c r="F475" s="19" t="s">
        <v>1466</v>
      </c>
      <c r="G475" s="19" t="s">
        <v>585</v>
      </c>
      <c r="H475" s="19" t="s">
        <v>586</v>
      </c>
      <c r="I475" s="19" t="s">
        <v>587</v>
      </c>
      <c r="J475" s="2" t="s">
        <v>2</v>
      </c>
      <c r="K475" s="20">
        <v>46094.125</v>
      </c>
      <c r="L475" s="20">
        <v>46092.125</v>
      </c>
      <c r="M475" s="22">
        <v>205</v>
      </c>
      <c r="N475" s="21">
        <v>295000</v>
      </c>
      <c r="O475" s="2" t="s">
        <v>76</v>
      </c>
      <c r="P475" s="2" t="s">
        <v>4</v>
      </c>
      <c r="Q475" s="2" t="s">
        <v>5</v>
      </c>
      <c r="R475" s="21">
        <f t="shared" si="63"/>
        <v>295000</v>
      </c>
      <c r="S475" s="21">
        <v>295000</v>
      </c>
      <c r="T475" s="5">
        <f t="shared" si="64"/>
        <v>622500</v>
      </c>
      <c r="U475">
        <f t="shared" si="65"/>
        <v>3</v>
      </c>
      <c r="V475">
        <f t="shared" si="66"/>
        <v>3</v>
      </c>
      <c r="W475" s="5">
        <f t="shared" si="67"/>
        <v>0</v>
      </c>
      <c r="X475" s="2" t="s">
        <v>6</v>
      </c>
      <c r="Y475" s="2" t="s">
        <v>2</v>
      </c>
      <c r="Z475">
        <v>958</v>
      </c>
      <c r="AC475">
        <f t="shared" si="68"/>
        <v>2026</v>
      </c>
      <c r="AD475">
        <f t="shared" si="69"/>
        <v>2026</v>
      </c>
      <c r="AE475">
        <f t="shared" si="70"/>
        <v>2026</v>
      </c>
      <c r="AF475">
        <f t="shared" si="71"/>
        <v>3</v>
      </c>
    </row>
    <row r="476" spans="1:32" x14ac:dyDescent="0.25">
      <c r="A476" s="59">
        <v>46091.125</v>
      </c>
      <c r="B476" s="2">
        <v>1462</v>
      </c>
      <c r="C476" s="19" t="s">
        <v>535</v>
      </c>
      <c r="D476" s="19" t="s">
        <v>2</v>
      </c>
      <c r="E476" s="19" t="s">
        <v>2</v>
      </c>
      <c r="F476" s="19" t="s">
        <v>86</v>
      </c>
      <c r="G476" s="19" t="s">
        <v>195</v>
      </c>
      <c r="H476" s="19" t="s">
        <v>1480</v>
      </c>
      <c r="I476" s="19" t="s">
        <v>1481</v>
      </c>
      <c r="J476" s="2" t="s">
        <v>2</v>
      </c>
      <c r="K476" s="20">
        <v>46091.125</v>
      </c>
      <c r="L476" s="20">
        <v>46091.125</v>
      </c>
      <c r="M476" s="22">
        <v>0</v>
      </c>
      <c r="N476" s="21">
        <v>250000</v>
      </c>
      <c r="O476" s="2" t="s">
        <v>76</v>
      </c>
      <c r="P476" s="2" t="s">
        <v>4</v>
      </c>
      <c r="Q476" s="2" t="s">
        <v>5</v>
      </c>
      <c r="R476" s="21">
        <f t="shared" si="63"/>
        <v>250000</v>
      </c>
      <c r="S476" s="21">
        <v>250000</v>
      </c>
      <c r="T476" s="5">
        <f t="shared" si="64"/>
        <v>622500</v>
      </c>
      <c r="U476">
        <f t="shared" si="65"/>
        <v>3</v>
      </c>
      <c r="V476">
        <f t="shared" si="66"/>
        <v>3</v>
      </c>
      <c r="W476" s="5">
        <f t="shared" si="67"/>
        <v>0</v>
      </c>
      <c r="X476" s="2" t="s">
        <v>6</v>
      </c>
      <c r="Y476" s="2" t="s">
        <v>2</v>
      </c>
      <c r="Z476">
        <v>953</v>
      </c>
      <c r="AA476" t="s">
        <v>1687</v>
      </c>
      <c r="AC476">
        <f t="shared" si="68"/>
        <v>2026</v>
      </c>
      <c r="AD476">
        <f t="shared" si="69"/>
        <v>2026</v>
      </c>
      <c r="AE476">
        <f t="shared" si="70"/>
        <v>2026</v>
      </c>
      <c r="AF476">
        <f t="shared" si="71"/>
        <v>3</v>
      </c>
    </row>
    <row r="477" spans="1:32" x14ac:dyDescent="0.25">
      <c r="A477" s="59">
        <v>46092.125</v>
      </c>
      <c r="B477" s="2">
        <v>1463</v>
      </c>
      <c r="C477" s="19" t="s">
        <v>1217</v>
      </c>
      <c r="D477" s="19" t="s">
        <v>2</v>
      </c>
      <c r="E477" s="19" t="s">
        <v>2</v>
      </c>
      <c r="F477" s="19" t="s">
        <v>1152</v>
      </c>
      <c r="G477" s="19" t="s">
        <v>532</v>
      </c>
      <c r="H477" s="19" t="s">
        <v>1482</v>
      </c>
      <c r="I477" s="19" t="s">
        <v>1483</v>
      </c>
      <c r="J477" s="2" t="s">
        <v>2</v>
      </c>
      <c r="K477" s="20">
        <v>46109.125</v>
      </c>
      <c r="L477" s="20">
        <v>46092.125</v>
      </c>
      <c r="M477" s="22">
        <v>135</v>
      </c>
      <c r="N477" s="21">
        <v>189000</v>
      </c>
      <c r="O477" s="2" t="s">
        <v>76</v>
      </c>
      <c r="P477" s="2" t="s">
        <v>4</v>
      </c>
      <c r="Q477" s="2" t="s">
        <v>5</v>
      </c>
      <c r="R477" s="21">
        <f t="shared" si="63"/>
        <v>189000</v>
      </c>
      <c r="S477" s="21">
        <v>189000</v>
      </c>
      <c r="T477" s="5">
        <f t="shared" si="64"/>
        <v>622500</v>
      </c>
      <c r="U477">
        <f t="shared" si="65"/>
        <v>3</v>
      </c>
      <c r="V477">
        <f t="shared" si="66"/>
        <v>3</v>
      </c>
      <c r="W477" s="5">
        <f t="shared" si="67"/>
        <v>0</v>
      </c>
      <c r="X477" s="2" t="s">
        <v>6</v>
      </c>
      <c r="Y477" s="2" t="s">
        <v>2</v>
      </c>
      <c r="AA477" t="s">
        <v>1500</v>
      </c>
      <c r="AC477">
        <f t="shared" si="68"/>
        <v>2026</v>
      </c>
      <c r="AD477">
        <f t="shared" si="69"/>
        <v>2026</v>
      </c>
      <c r="AE477">
        <f t="shared" si="70"/>
        <v>2026</v>
      </c>
      <c r="AF477">
        <f t="shared" si="71"/>
        <v>3</v>
      </c>
    </row>
    <row r="478" spans="1:32" x14ac:dyDescent="0.25">
      <c r="A478" s="59">
        <v>46092.125</v>
      </c>
      <c r="B478" s="2">
        <v>1464</v>
      </c>
      <c r="C478" s="19" t="s">
        <v>1484</v>
      </c>
      <c r="D478" s="19" t="s">
        <v>2</v>
      </c>
      <c r="E478" s="19" t="s">
        <v>2</v>
      </c>
      <c r="F478" s="19" t="s">
        <v>1403</v>
      </c>
      <c r="G478" s="19" t="s">
        <v>1485</v>
      </c>
      <c r="H478" s="19" t="s">
        <v>1486</v>
      </c>
      <c r="I478" s="19" t="s">
        <v>1487</v>
      </c>
      <c r="J478" s="2" t="s">
        <v>2</v>
      </c>
      <c r="K478" s="20">
        <v>46092.125</v>
      </c>
      <c r="L478" s="20">
        <v>46092.125</v>
      </c>
      <c r="M478" s="22">
        <v>133</v>
      </c>
      <c r="N478" s="21">
        <v>189000</v>
      </c>
      <c r="O478" s="2" t="s">
        <v>1488</v>
      </c>
      <c r="P478" s="2" t="s">
        <v>145</v>
      </c>
      <c r="Q478" s="2" t="s">
        <v>146</v>
      </c>
      <c r="R478" s="21">
        <f t="shared" si="63"/>
        <v>0</v>
      </c>
      <c r="S478" s="21">
        <v>0</v>
      </c>
      <c r="T478" s="5">
        <f t="shared" si="64"/>
        <v>622500</v>
      </c>
      <c r="U478">
        <f t="shared" si="65"/>
        <v>3</v>
      </c>
      <c r="V478">
        <f t="shared" si="66"/>
        <v>3</v>
      </c>
      <c r="W478" s="5">
        <f t="shared" si="67"/>
        <v>0</v>
      </c>
      <c r="X478" s="2" t="s">
        <v>6</v>
      </c>
      <c r="Y478" s="2" t="s">
        <v>2</v>
      </c>
      <c r="AC478">
        <f t="shared" si="68"/>
        <v>2026</v>
      </c>
      <c r="AD478">
        <f t="shared" si="69"/>
        <v>2026</v>
      </c>
      <c r="AE478">
        <f t="shared" si="70"/>
        <v>2026</v>
      </c>
      <c r="AF478">
        <f t="shared" si="71"/>
        <v>3</v>
      </c>
    </row>
    <row r="479" spans="1:32" x14ac:dyDescent="0.25">
      <c r="A479" s="59">
        <v>46098.125</v>
      </c>
      <c r="B479" s="2">
        <v>1465</v>
      </c>
      <c r="C479" s="19" t="s">
        <v>1</v>
      </c>
      <c r="D479" s="19" t="s">
        <v>2</v>
      </c>
      <c r="E479" s="19" t="s">
        <v>2</v>
      </c>
      <c r="F479" s="19" t="s">
        <v>136</v>
      </c>
      <c r="G479" s="19" t="s">
        <v>137</v>
      </c>
      <c r="H479" s="19" t="s">
        <v>982</v>
      </c>
      <c r="I479" s="19" t="s">
        <v>1489</v>
      </c>
      <c r="J479" s="2" t="s">
        <v>2</v>
      </c>
      <c r="K479" s="20">
        <v>46098.125</v>
      </c>
      <c r="L479" s="20">
        <v>46098.125</v>
      </c>
      <c r="M479" s="22">
        <v>140</v>
      </c>
      <c r="N479" s="21">
        <v>198500</v>
      </c>
      <c r="O479" s="2" t="s">
        <v>76</v>
      </c>
      <c r="P479" s="2" t="s">
        <v>4</v>
      </c>
      <c r="Q479" s="2" t="s">
        <v>5</v>
      </c>
      <c r="R479" s="21">
        <f t="shared" si="63"/>
        <v>198500</v>
      </c>
      <c r="S479" s="21">
        <v>198500</v>
      </c>
      <c r="T479" s="5">
        <f t="shared" si="64"/>
        <v>622500</v>
      </c>
      <c r="U479">
        <f t="shared" si="65"/>
        <v>3</v>
      </c>
      <c r="V479">
        <f t="shared" si="66"/>
        <v>3</v>
      </c>
      <c r="W479" s="5">
        <f t="shared" si="67"/>
        <v>0</v>
      </c>
      <c r="X479" s="2" t="s">
        <v>6</v>
      </c>
      <c r="Y479" s="2" t="s">
        <v>2</v>
      </c>
      <c r="Z479">
        <v>960</v>
      </c>
      <c r="AA479" t="s">
        <v>1510</v>
      </c>
      <c r="AC479">
        <f t="shared" si="68"/>
        <v>2026</v>
      </c>
      <c r="AD479">
        <f t="shared" si="69"/>
        <v>2026</v>
      </c>
      <c r="AE479">
        <f t="shared" si="70"/>
        <v>2026</v>
      </c>
      <c r="AF479">
        <f t="shared" si="71"/>
        <v>3</v>
      </c>
    </row>
    <row r="480" spans="1:32" x14ac:dyDescent="0.25">
      <c r="A480" s="59">
        <v>46098.125</v>
      </c>
      <c r="B480" s="2">
        <v>1466</v>
      </c>
      <c r="C480" s="19" t="s">
        <v>789</v>
      </c>
      <c r="D480" s="19" t="s">
        <v>2</v>
      </c>
      <c r="E480" s="19" t="s">
        <v>2</v>
      </c>
      <c r="F480" s="19" t="s">
        <v>86</v>
      </c>
      <c r="G480" s="19" t="s">
        <v>94</v>
      </c>
      <c r="H480" s="19" t="s">
        <v>321</v>
      </c>
      <c r="I480" s="19" t="s">
        <v>1490</v>
      </c>
      <c r="J480" s="2" t="s">
        <v>2</v>
      </c>
      <c r="K480" s="20">
        <v>46098.125</v>
      </c>
      <c r="L480" s="20">
        <v>46098.125</v>
      </c>
      <c r="M480" s="22">
        <v>165</v>
      </c>
      <c r="N480" s="21">
        <v>235000</v>
      </c>
      <c r="O480" s="2" t="s">
        <v>76</v>
      </c>
      <c r="P480" s="2" t="s">
        <v>4</v>
      </c>
      <c r="Q480" s="2" t="s">
        <v>5</v>
      </c>
      <c r="R480" s="21">
        <f t="shared" si="63"/>
        <v>235000</v>
      </c>
      <c r="S480" s="21">
        <v>235000</v>
      </c>
      <c r="T480" s="5">
        <f t="shared" si="64"/>
        <v>622500</v>
      </c>
      <c r="U480">
        <f t="shared" si="65"/>
        <v>3</v>
      </c>
      <c r="V480">
        <f t="shared" si="66"/>
        <v>3</v>
      </c>
      <c r="W480" s="5">
        <f t="shared" si="67"/>
        <v>0</v>
      </c>
      <c r="X480" s="2" t="s">
        <v>6</v>
      </c>
      <c r="Y480" s="2" t="s">
        <v>2</v>
      </c>
      <c r="Z480">
        <v>959</v>
      </c>
      <c r="AA480" t="s">
        <v>1688</v>
      </c>
      <c r="AC480">
        <f t="shared" si="68"/>
        <v>2026</v>
      </c>
      <c r="AD480">
        <f t="shared" si="69"/>
        <v>2026</v>
      </c>
      <c r="AE480">
        <f t="shared" si="70"/>
        <v>2026</v>
      </c>
      <c r="AF480">
        <f t="shared" si="71"/>
        <v>3</v>
      </c>
    </row>
    <row r="481" spans="1:32" x14ac:dyDescent="0.25">
      <c r="A481" s="59">
        <v>46098.125</v>
      </c>
      <c r="B481" s="2">
        <v>1467</v>
      </c>
      <c r="C481" s="19" t="s">
        <v>535</v>
      </c>
      <c r="D481" s="19" t="s">
        <v>2</v>
      </c>
      <c r="E481" s="19" t="s">
        <v>2</v>
      </c>
      <c r="F481" s="19" t="s">
        <v>86</v>
      </c>
      <c r="G481" s="19" t="s">
        <v>280</v>
      </c>
      <c r="H481" s="19" t="s">
        <v>589</v>
      </c>
      <c r="I481" s="19" t="s">
        <v>1491</v>
      </c>
      <c r="J481" s="2" t="s">
        <v>2</v>
      </c>
      <c r="K481" s="20">
        <v>46098.125</v>
      </c>
      <c r="L481" s="20">
        <v>46100.125</v>
      </c>
      <c r="M481" s="22">
        <v>165</v>
      </c>
      <c r="N481" s="21">
        <v>235000</v>
      </c>
      <c r="O481" s="2" t="s">
        <v>76</v>
      </c>
      <c r="P481" s="2" t="s">
        <v>4</v>
      </c>
      <c r="Q481" s="2" t="s">
        <v>5</v>
      </c>
      <c r="R481" s="21">
        <f t="shared" si="63"/>
        <v>235000</v>
      </c>
      <c r="S481" s="21">
        <v>235000</v>
      </c>
      <c r="T481" s="5">
        <f t="shared" si="64"/>
        <v>622500</v>
      </c>
      <c r="U481">
        <f t="shared" si="65"/>
        <v>3</v>
      </c>
      <c r="V481">
        <f t="shared" si="66"/>
        <v>3</v>
      </c>
      <c r="W481" s="5">
        <f t="shared" si="67"/>
        <v>0</v>
      </c>
      <c r="X481" s="2" t="s">
        <v>6</v>
      </c>
      <c r="Y481" s="2" t="s">
        <v>2</v>
      </c>
      <c r="Z481">
        <v>963</v>
      </c>
      <c r="AA481" t="s">
        <v>1500</v>
      </c>
      <c r="AC481">
        <f t="shared" si="68"/>
        <v>2026</v>
      </c>
      <c r="AD481">
        <f t="shared" si="69"/>
        <v>2026</v>
      </c>
      <c r="AE481">
        <f t="shared" si="70"/>
        <v>2026</v>
      </c>
      <c r="AF481">
        <f t="shared" si="71"/>
        <v>3</v>
      </c>
    </row>
    <row r="482" spans="1:32" x14ac:dyDescent="0.25">
      <c r="A482" s="59">
        <v>46099.125</v>
      </c>
      <c r="B482" s="2">
        <v>1468</v>
      </c>
      <c r="C482" s="19" t="s">
        <v>202</v>
      </c>
      <c r="D482" s="19" t="s">
        <v>2</v>
      </c>
      <c r="E482" s="19" t="s">
        <v>2</v>
      </c>
      <c r="F482" s="19" t="s">
        <v>1492</v>
      </c>
      <c r="G482" s="19" t="s">
        <v>1493</v>
      </c>
      <c r="H482" s="19" t="s">
        <v>1494</v>
      </c>
      <c r="I482" s="19" t="s">
        <v>1495</v>
      </c>
      <c r="J482" s="2" t="s">
        <v>2</v>
      </c>
      <c r="K482" s="20">
        <v>46099.125</v>
      </c>
      <c r="L482" s="20">
        <v>46100.125</v>
      </c>
      <c r="M482" s="22">
        <v>70</v>
      </c>
      <c r="N482" s="21">
        <v>98000</v>
      </c>
      <c r="O482" s="2" t="s">
        <v>76</v>
      </c>
      <c r="P482" s="2" t="s">
        <v>4</v>
      </c>
      <c r="Q482" s="2" t="s">
        <v>5</v>
      </c>
      <c r="R482" s="21">
        <f t="shared" si="63"/>
        <v>98000</v>
      </c>
      <c r="S482" s="21">
        <v>98000</v>
      </c>
      <c r="T482" s="5">
        <f t="shared" si="64"/>
        <v>622500</v>
      </c>
      <c r="U482">
        <f t="shared" si="65"/>
        <v>3</v>
      </c>
      <c r="V482">
        <f t="shared" si="66"/>
        <v>3</v>
      </c>
      <c r="W482" s="5">
        <f t="shared" si="67"/>
        <v>0</v>
      </c>
      <c r="X482" s="2" t="s">
        <v>6</v>
      </c>
      <c r="Y482" s="2" t="s">
        <v>2</v>
      </c>
      <c r="Z482">
        <v>962</v>
      </c>
      <c r="AA482" t="s">
        <v>1500</v>
      </c>
      <c r="AC482">
        <f t="shared" si="68"/>
        <v>2026</v>
      </c>
      <c r="AD482">
        <f t="shared" si="69"/>
        <v>2026</v>
      </c>
      <c r="AE482">
        <f t="shared" si="70"/>
        <v>2026</v>
      </c>
      <c r="AF482">
        <f t="shared" si="71"/>
        <v>3</v>
      </c>
    </row>
    <row r="483" spans="1:32" x14ac:dyDescent="0.25">
      <c r="A483" s="59">
        <v>46100.125</v>
      </c>
      <c r="B483" s="2">
        <v>1469</v>
      </c>
      <c r="C483" s="19" t="s">
        <v>1496</v>
      </c>
      <c r="D483" s="19" t="s">
        <v>2</v>
      </c>
      <c r="E483" s="19" t="s">
        <v>2</v>
      </c>
      <c r="F483" s="19" t="s">
        <v>86</v>
      </c>
      <c r="G483" s="19" t="s">
        <v>195</v>
      </c>
      <c r="H483" s="19" t="s">
        <v>196</v>
      </c>
      <c r="I483" s="19" t="s">
        <v>1497</v>
      </c>
      <c r="J483" s="2" t="s">
        <v>2</v>
      </c>
      <c r="K483" s="20">
        <v>46100.125</v>
      </c>
      <c r="L483" s="20">
        <v>46100.125</v>
      </c>
      <c r="M483" s="22">
        <v>187</v>
      </c>
      <c r="N483" s="21">
        <v>265000</v>
      </c>
      <c r="O483" s="2" t="s">
        <v>76</v>
      </c>
      <c r="P483" s="2" t="s">
        <v>4</v>
      </c>
      <c r="Q483" s="2" t="s">
        <v>5</v>
      </c>
      <c r="R483" s="21">
        <f t="shared" si="63"/>
        <v>265000</v>
      </c>
      <c r="S483" s="21">
        <v>265000</v>
      </c>
      <c r="T483" s="5">
        <f t="shared" si="64"/>
        <v>622500</v>
      </c>
      <c r="U483">
        <f t="shared" si="65"/>
        <v>3</v>
      </c>
      <c r="V483">
        <f t="shared" si="66"/>
        <v>3</v>
      </c>
      <c r="W483" s="5">
        <f t="shared" si="67"/>
        <v>0</v>
      </c>
      <c r="X483" s="2" t="s">
        <v>6</v>
      </c>
      <c r="Y483" s="2" t="s">
        <v>2</v>
      </c>
      <c r="Z483">
        <v>964</v>
      </c>
      <c r="AA483" t="s">
        <v>1500</v>
      </c>
      <c r="AC483">
        <f t="shared" si="68"/>
        <v>2026</v>
      </c>
      <c r="AD483">
        <f t="shared" si="69"/>
        <v>2026</v>
      </c>
      <c r="AE483">
        <f t="shared" si="70"/>
        <v>2026</v>
      </c>
      <c r="AF483">
        <f t="shared" si="71"/>
        <v>3</v>
      </c>
    </row>
    <row r="484" spans="1:32" x14ac:dyDescent="0.25">
      <c r="A484" s="59">
        <v>46106.125</v>
      </c>
      <c r="B484" s="2">
        <v>1470</v>
      </c>
      <c r="C484" s="19" t="s">
        <v>1066</v>
      </c>
      <c r="D484" s="19" t="s">
        <v>2</v>
      </c>
      <c r="E484" s="19" t="s">
        <v>2</v>
      </c>
      <c r="F484" s="19" t="s">
        <v>298</v>
      </c>
      <c r="G484" s="19" t="s">
        <v>1689</v>
      </c>
      <c r="H484" s="19" t="s">
        <v>1690</v>
      </c>
      <c r="I484" s="19" t="s">
        <v>1691</v>
      </c>
      <c r="J484" s="2" t="s">
        <v>2</v>
      </c>
      <c r="K484" s="20">
        <v>46106.125</v>
      </c>
      <c r="L484" s="20">
        <v>46106.125</v>
      </c>
      <c r="M484" s="22">
        <v>140</v>
      </c>
      <c r="N484" s="21">
        <v>198000</v>
      </c>
      <c r="O484" s="2" t="s">
        <v>76</v>
      </c>
      <c r="P484" s="2" t="s">
        <v>4</v>
      </c>
      <c r="Q484" s="2" t="s">
        <v>5</v>
      </c>
      <c r="R484" s="21">
        <f t="shared" si="63"/>
        <v>198000</v>
      </c>
      <c r="S484" s="21">
        <v>198000</v>
      </c>
      <c r="T484" s="5">
        <f t="shared" si="64"/>
        <v>622500</v>
      </c>
      <c r="U484">
        <f t="shared" si="65"/>
        <v>3</v>
      </c>
      <c r="V484">
        <f t="shared" si="66"/>
        <v>3</v>
      </c>
      <c r="W484" s="5">
        <f t="shared" si="67"/>
        <v>0</v>
      </c>
      <c r="X484" s="2" t="s">
        <v>6</v>
      </c>
      <c r="Y484" s="2" t="s">
        <v>2</v>
      </c>
      <c r="Z484">
        <v>965</v>
      </c>
      <c r="AA484" t="s">
        <v>1692</v>
      </c>
      <c r="AC484">
        <f t="shared" si="68"/>
        <v>2026</v>
      </c>
      <c r="AD484">
        <f t="shared" si="69"/>
        <v>2026</v>
      </c>
      <c r="AE484">
        <f t="shared" si="70"/>
        <v>2026</v>
      </c>
      <c r="AF484">
        <f t="shared" si="71"/>
        <v>3</v>
      </c>
    </row>
    <row r="485" spans="1:32" x14ac:dyDescent="0.25">
      <c r="A485" s="59">
        <v>46107.125</v>
      </c>
      <c r="B485" s="2">
        <v>1471</v>
      </c>
      <c r="C485" s="19" t="s">
        <v>536</v>
      </c>
      <c r="D485" s="19" t="s">
        <v>2</v>
      </c>
      <c r="E485" s="19" t="s">
        <v>2</v>
      </c>
      <c r="F485" s="19" t="s">
        <v>86</v>
      </c>
      <c r="G485" s="19" t="s">
        <v>351</v>
      </c>
      <c r="H485" s="19" t="s">
        <v>1693</v>
      </c>
      <c r="I485" s="19" t="s">
        <v>1694</v>
      </c>
      <c r="J485" s="2" t="s">
        <v>2</v>
      </c>
      <c r="K485" s="20">
        <v>46107.125</v>
      </c>
      <c r="L485" s="20">
        <v>46108.125</v>
      </c>
      <c r="M485" s="22">
        <v>151</v>
      </c>
      <c r="N485" s="21">
        <v>210000</v>
      </c>
      <c r="O485" s="2" t="s">
        <v>76</v>
      </c>
      <c r="P485" s="2" t="s">
        <v>4</v>
      </c>
      <c r="Q485" s="2" t="s">
        <v>5</v>
      </c>
      <c r="R485" s="21">
        <f t="shared" si="63"/>
        <v>210000</v>
      </c>
      <c r="S485" s="21">
        <v>210000</v>
      </c>
      <c r="T485" s="5">
        <f t="shared" si="64"/>
        <v>622500</v>
      </c>
      <c r="U485">
        <f t="shared" si="65"/>
        <v>3</v>
      </c>
      <c r="V485">
        <f t="shared" si="66"/>
        <v>3</v>
      </c>
      <c r="W485" s="5">
        <f t="shared" si="67"/>
        <v>0</v>
      </c>
      <c r="X485" s="2" t="s">
        <v>6</v>
      </c>
      <c r="Y485" s="2" t="s">
        <v>2</v>
      </c>
      <c r="Z485">
        <v>966</v>
      </c>
      <c r="AA485" t="s">
        <v>1695</v>
      </c>
      <c r="AC485">
        <f t="shared" si="68"/>
        <v>2026</v>
      </c>
      <c r="AD485">
        <f t="shared" si="69"/>
        <v>2026</v>
      </c>
      <c r="AE485">
        <f t="shared" si="70"/>
        <v>2026</v>
      </c>
      <c r="AF485">
        <f t="shared" si="71"/>
        <v>3</v>
      </c>
    </row>
    <row r="486" spans="1:32" x14ac:dyDescent="0.25">
      <c r="A486" s="59">
        <v>46111.125</v>
      </c>
      <c r="B486" s="2">
        <v>1472</v>
      </c>
      <c r="C486" s="19" t="s">
        <v>202</v>
      </c>
      <c r="D486" s="19" t="s">
        <v>2</v>
      </c>
      <c r="E486" s="19" t="s">
        <v>2</v>
      </c>
      <c r="F486" s="19" t="s">
        <v>1696</v>
      </c>
      <c r="G486" s="19" t="s">
        <v>1697</v>
      </c>
      <c r="H486" s="19" t="s">
        <v>1698</v>
      </c>
      <c r="I486" s="19" t="s">
        <v>1699</v>
      </c>
      <c r="J486" s="2" t="s">
        <v>2</v>
      </c>
      <c r="K486" s="20">
        <v>46135.125</v>
      </c>
      <c r="L486" s="20">
        <v>46136.125</v>
      </c>
      <c r="M486" s="22">
        <v>0</v>
      </c>
      <c r="N486" s="21">
        <v>0</v>
      </c>
      <c r="O486" s="2" t="s">
        <v>3</v>
      </c>
      <c r="P486" s="2" t="s">
        <v>306</v>
      </c>
      <c r="Q486" s="2" t="s">
        <v>5</v>
      </c>
      <c r="R486" s="21">
        <f t="shared" si="63"/>
        <v>0</v>
      </c>
      <c r="S486" s="21">
        <v>0</v>
      </c>
      <c r="T486" s="5">
        <f t="shared" si="64"/>
        <v>622500</v>
      </c>
      <c r="U486">
        <f t="shared" si="65"/>
        <v>4</v>
      </c>
      <c r="V486">
        <f t="shared" si="66"/>
        <v>3</v>
      </c>
      <c r="W486" s="5">
        <f t="shared" si="67"/>
        <v>0</v>
      </c>
      <c r="X486" s="2" t="s">
        <v>6</v>
      </c>
      <c r="Y486" s="2" t="s">
        <v>2</v>
      </c>
      <c r="Z486">
        <v>968</v>
      </c>
      <c r="AA486" t="s">
        <v>1500</v>
      </c>
      <c r="AC486">
        <f t="shared" si="68"/>
        <v>2026</v>
      </c>
      <c r="AD486">
        <f t="shared" si="69"/>
        <v>2026</v>
      </c>
      <c r="AE486">
        <f t="shared" si="70"/>
        <v>2026</v>
      </c>
      <c r="AF486">
        <f t="shared" si="71"/>
        <v>4</v>
      </c>
    </row>
    <row r="487" spans="1:32" x14ac:dyDescent="0.25">
      <c r="A487" s="59">
        <v>46112.125</v>
      </c>
      <c r="B487" s="2">
        <v>1473</v>
      </c>
      <c r="C487" s="19" t="s">
        <v>194</v>
      </c>
      <c r="D487" s="19" t="s">
        <v>2</v>
      </c>
      <c r="E487" s="19" t="s">
        <v>2</v>
      </c>
      <c r="F487" s="19" t="s">
        <v>1700</v>
      </c>
      <c r="G487" s="19" t="s">
        <v>1036</v>
      </c>
      <c r="H487" s="19" t="s">
        <v>1701</v>
      </c>
      <c r="I487" s="19" t="s">
        <v>1702</v>
      </c>
      <c r="J487" s="2" t="s">
        <v>2</v>
      </c>
      <c r="K487" s="20">
        <v>46112.125</v>
      </c>
      <c r="L487" s="20">
        <v>46112.125</v>
      </c>
      <c r="M487" s="22">
        <v>0</v>
      </c>
      <c r="N487" s="21">
        <v>0</v>
      </c>
      <c r="O487" s="2" t="s">
        <v>1488</v>
      </c>
      <c r="P487" s="2" t="s">
        <v>306</v>
      </c>
      <c r="Q487" s="2" t="s">
        <v>5</v>
      </c>
      <c r="R487" s="21">
        <f t="shared" si="63"/>
        <v>0</v>
      </c>
      <c r="S487" s="21">
        <v>0</v>
      </c>
      <c r="T487" s="5">
        <f t="shared" si="64"/>
        <v>622500</v>
      </c>
      <c r="U487">
        <f t="shared" si="65"/>
        <v>3</v>
      </c>
      <c r="V487">
        <f t="shared" si="66"/>
        <v>3</v>
      </c>
      <c r="W487" s="5">
        <f t="shared" si="67"/>
        <v>0</v>
      </c>
      <c r="X487" s="2" t="s">
        <v>6</v>
      </c>
      <c r="Y487" s="2" t="s">
        <v>2</v>
      </c>
      <c r="AA487" t="s">
        <v>1500</v>
      </c>
      <c r="AC487">
        <f t="shared" si="68"/>
        <v>2026</v>
      </c>
      <c r="AD487">
        <f t="shared" si="69"/>
        <v>2026</v>
      </c>
      <c r="AE487">
        <f t="shared" si="70"/>
        <v>2026</v>
      </c>
      <c r="AF487">
        <f t="shared" si="71"/>
        <v>3</v>
      </c>
    </row>
    <row r="488" spans="1:32" x14ac:dyDescent="0.25">
      <c r="A488" s="59">
        <v>46113.125</v>
      </c>
      <c r="B488" s="2">
        <v>1474</v>
      </c>
      <c r="C488" s="19" t="s">
        <v>1703</v>
      </c>
      <c r="D488" s="19" t="s">
        <v>2</v>
      </c>
      <c r="E488" s="19" t="s">
        <v>2</v>
      </c>
      <c r="F488" s="19" t="s">
        <v>1704</v>
      </c>
      <c r="G488" s="19" t="s">
        <v>1705</v>
      </c>
      <c r="H488" s="19" t="s">
        <v>1706</v>
      </c>
      <c r="I488" s="19" t="s">
        <v>1707</v>
      </c>
      <c r="J488" s="2" t="s">
        <v>2</v>
      </c>
      <c r="K488" s="20">
        <v>46113.125</v>
      </c>
      <c r="L488" s="20">
        <v>46121.125</v>
      </c>
      <c r="M488" s="22">
        <v>140</v>
      </c>
      <c r="N488" s="21">
        <v>198000</v>
      </c>
      <c r="O488" s="2" t="s">
        <v>3</v>
      </c>
      <c r="P488" s="2" t="s">
        <v>4</v>
      </c>
      <c r="Q488" s="2" t="s">
        <v>5</v>
      </c>
      <c r="R488" s="21">
        <f t="shared" si="63"/>
        <v>198000</v>
      </c>
      <c r="S488" s="21">
        <v>198000</v>
      </c>
      <c r="T488" s="5">
        <f t="shared" si="64"/>
        <v>622500</v>
      </c>
      <c r="U488">
        <f t="shared" si="65"/>
        <v>4</v>
      </c>
      <c r="V488">
        <f t="shared" si="66"/>
        <v>4</v>
      </c>
      <c r="W488" s="5">
        <f t="shared" si="67"/>
        <v>0</v>
      </c>
      <c r="X488" s="2" t="s">
        <v>6</v>
      </c>
      <c r="Y488" s="2" t="s">
        <v>2</v>
      </c>
      <c r="Z488">
        <v>970</v>
      </c>
      <c r="AA488" t="s">
        <v>1708</v>
      </c>
      <c r="AC488">
        <f t="shared" si="68"/>
        <v>2026</v>
      </c>
      <c r="AD488">
        <f t="shared" si="69"/>
        <v>2026</v>
      </c>
      <c r="AE488">
        <f t="shared" si="70"/>
        <v>2026</v>
      </c>
      <c r="AF488">
        <f t="shared" si="71"/>
        <v>4</v>
      </c>
    </row>
    <row r="489" spans="1:32" x14ac:dyDescent="0.25">
      <c r="A489" s="59">
        <v>46113.125</v>
      </c>
      <c r="B489" s="2">
        <v>1475</v>
      </c>
      <c r="C489" s="19" t="s">
        <v>1703</v>
      </c>
      <c r="D489" s="19" t="s">
        <v>2</v>
      </c>
      <c r="E489" s="19" t="s">
        <v>2</v>
      </c>
      <c r="F489" s="19" t="s">
        <v>1704</v>
      </c>
      <c r="G489" s="19" t="s">
        <v>1705</v>
      </c>
      <c r="H489" s="19" t="s">
        <v>1706</v>
      </c>
      <c r="I489" s="19" t="s">
        <v>1709</v>
      </c>
      <c r="J489" s="2" t="s">
        <v>2</v>
      </c>
      <c r="K489" s="20">
        <v>46113.125</v>
      </c>
      <c r="L489" s="20"/>
      <c r="M489" s="22">
        <v>135</v>
      </c>
      <c r="N489" s="21">
        <v>188000</v>
      </c>
      <c r="O489" s="2" t="s">
        <v>3</v>
      </c>
      <c r="P489" s="2" t="s">
        <v>4</v>
      </c>
      <c r="Q489" s="2" t="s">
        <v>97</v>
      </c>
      <c r="R489" s="21">
        <f t="shared" si="63"/>
        <v>0</v>
      </c>
      <c r="S489" s="21">
        <v>0</v>
      </c>
      <c r="T489" s="5">
        <f t="shared" si="64"/>
        <v>622500</v>
      </c>
      <c r="U489">
        <f t="shared" si="65"/>
        <v>4</v>
      </c>
      <c r="V489">
        <f t="shared" si="66"/>
        <v>4</v>
      </c>
      <c r="W489" s="5">
        <f t="shared" si="67"/>
        <v>0</v>
      </c>
      <c r="X489" s="2" t="s">
        <v>6</v>
      </c>
      <c r="Y489" s="2" t="s">
        <v>2</v>
      </c>
      <c r="AA489" t="s">
        <v>1500</v>
      </c>
      <c r="AC489">
        <f t="shared" si="68"/>
        <v>2026</v>
      </c>
      <c r="AD489">
        <f t="shared" si="69"/>
        <v>2026</v>
      </c>
      <c r="AE489" t="str">
        <f t="shared" si="70"/>
        <v/>
      </c>
      <c r="AF489" t="str">
        <f t="shared" si="71"/>
        <v/>
      </c>
    </row>
    <row r="490" spans="1:32" x14ac:dyDescent="0.25">
      <c r="A490" s="59">
        <v>46113.125</v>
      </c>
      <c r="B490" s="2">
        <v>1476</v>
      </c>
      <c r="C490" s="19" t="s">
        <v>1703</v>
      </c>
      <c r="D490" s="19" t="s">
        <v>2</v>
      </c>
      <c r="E490" s="19" t="s">
        <v>2</v>
      </c>
      <c r="F490" s="19" t="s">
        <v>1704</v>
      </c>
      <c r="G490" s="19" t="s">
        <v>1705</v>
      </c>
      <c r="H490" s="19" t="s">
        <v>1706</v>
      </c>
      <c r="I490" s="19" t="s">
        <v>1710</v>
      </c>
      <c r="J490" s="2" t="s">
        <v>2</v>
      </c>
      <c r="K490" s="20">
        <v>46113.125</v>
      </c>
      <c r="L490" s="20"/>
      <c r="M490" s="22">
        <v>140</v>
      </c>
      <c r="N490" s="21">
        <v>198000</v>
      </c>
      <c r="O490" s="2" t="s">
        <v>3</v>
      </c>
      <c r="P490" s="2" t="s">
        <v>4</v>
      </c>
      <c r="Q490" s="2" t="s">
        <v>97</v>
      </c>
      <c r="R490" s="21">
        <f t="shared" si="63"/>
        <v>0</v>
      </c>
      <c r="S490" s="21">
        <v>0</v>
      </c>
      <c r="T490" s="5">
        <f t="shared" si="64"/>
        <v>622500</v>
      </c>
      <c r="U490">
        <f t="shared" si="65"/>
        <v>4</v>
      </c>
      <c r="V490">
        <f t="shared" si="66"/>
        <v>4</v>
      </c>
      <c r="W490" s="5">
        <f t="shared" si="67"/>
        <v>0</v>
      </c>
      <c r="X490" s="2" t="s">
        <v>6</v>
      </c>
      <c r="Y490" s="2" t="s">
        <v>2</v>
      </c>
      <c r="AA490" t="s">
        <v>1500</v>
      </c>
      <c r="AC490">
        <f t="shared" si="68"/>
        <v>2026</v>
      </c>
      <c r="AD490">
        <f t="shared" si="69"/>
        <v>2026</v>
      </c>
      <c r="AE490" t="str">
        <f t="shared" si="70"/>
        <v/>
      </c>
      <c r="AF490" t="str">
        <f t="shared" si="71"/>
        <v/>
      </c>
    </row>
    <row r="491" spans="1:32" x14ac:dyDescent="0.25">
      <c r="A491" s="59">
        <v>46113.125</v>
      </c>
      <c r="B491" s="2">
        <v>1477</v>
      </c>
      <c r="C491" s="19" t="s">
        <v>1703</v>
      </c>
      <c r="D491" s="19" t="s">
        <v>2</v>
      </c>
      <c r="E491" s="19" t="s">
        <v>2</v>
      </c>
      <c r="F491" s="19" t="s">
        <v>1704</v>
      </c>
      <c r="G491" s="19" t="s">
        <v>1705</v>
      </c>
      <c r="H491" s="19" t="s">
        <v>1706</v>
      </c>
      <c r="I491" s="19" t="s">
        <v>1711</v>
      </c>
      <c r="J491" s="2" t="s">
        <v>2</v>
      </c>
      <c r="K491" s="20">
        <v>46113.125</v>
      </c>
      <c r="L491" s="20">
        <v>46146.125</v>
      </c>
      <c r="M491" s="22">
        <v>0</v>
      </c>
      <c r="N491" s="21">
        <v>0</v>
      </c>
      <c r="O491" s="2" t="s">
        <v>3</v>
      </c>
      <c r="P491" s="2" t="s">
        <v>306</v>
      </c>
      <c r="Q491" s="2" t="s">
        <v>5</v>
      </c>
      <c r="R491" s="21">
        <f t="shared" si="63"/>
        <v>0</v>
      </c>
      <c r="S491" s="21">
        <v>0</v>
      </c>
      <c r="T491" s="5">
        <f t="shared" si="64"/>
        <v>622500</v>
      </c>
      <c r="U491">
        <f t="shared" si="65"/>
        <v>4</v>
      </c>
      <c r="V491">
        <f t="shared" si="66"/>
        <v>4</v>
      </c>
      <c r="W491" s="5">
        <f t="shared" si="67"/>
        <v>0</v>
      </c>
      <c r="X491" s="2" t="s">
        <v>6</v>
      </c>
      <c r="Y491" s="2" t="s">
        <v>2</v>
      </c>
      <c r="AA491" t="s">
        <v>1500</v>
      </c>
      <c r="AC491">
        <f t="shared" si="68"/>
        <v>2026</v>
      </c>
      <c r="AD491">
        <f t="shared" si="69"/>
        <v>2026</v>
      </c>
      <c r="AE491">
        <f t="shared" si="70"/>
        <v>2026</v>
      </c>
      <c r="AF491">
        <f t="shared" si="71"/>
        <v>5</v>
      </c>
    </row>
    <row r="492" spans="1:32" x14ac:dyDescent="0.25">
      <c r="A492" s="59">
        <v>46114.125</v>
      </c>
      <c r="B492" s="2">
        <v>1478</v>
      </c>
      <c r="C492" s="19" t="s">
        <v>1</v>
      </c>
      <c r="D492" s="19" t="s">
        <v>2</v>
      </c>
      <c r="E492" s="19" t="s">
        <v>2</v>
      </c>
      <c r="F492" s="19" t="s">
        <v>136</v>
      </c>
      <c r="G492" s="19" t="s">
        <v>137</v>
      </c>
      <c r="H492" s="19" t="s">
        <v>793</v>
      </c>
      <c r="I492" s="19" t="s">
        <v>1712</v>
      </c>
      <c r="J492" s="2" t="s">
        <v>2</v>
      </c>
      <c r="K492" s="20">
        <v>46114.125</v>
      </c>
      <c r="L492" s="20">
        <v>46119.125</v>
      </c>
      <c r="M492" s="22">
        <v>137</v>
      </c>
      <c r="N492" s="21">
        <v>195000</v>
      </c>
      <c r="O492" s="2" t="s">
        <v>76</v>
      </c>
      <c r="P492" s="2" t="s">
        <v>4</v>
      </c>
      <c r="Q492" s="2" t="s">
        <v>5</v>
      </c>
      <c r="R492" s="21">
        <f t="shared" si="63"/>
        <v>195000</v>
      </c>
      <c r="S492" s="21">
        <v>195000</v>
      </c>
      <c r="T492" s="5">
        <f t="shared" si="64"/>
        <v>622500</v>
      </c>
      <c r="U492">
        <f t="shared" si="65"/>
        <v>4</v>
      </c>
      <c r="V492">
        <f t="shared" si="66"/>
        <v>4</v>
      </c>
      <c r="W492" s="5">
        <f t="shared" si="67"/>
        <v>0</v>
      </c>
      <c r="X492" s="2" t="s">
        <v>6</v>
      </c>
      <c r="Y492" s="2" t="s">
        <v>2</v>
      </c>
      <c r="Z492">
        <v>969</v>
      </c>
      <c r="AA492" t="s">
        <v>1713</v>
      </c>
      <c r="AC492">
        <f t="shared" si="68"/>
        <v>2026</v>
      </c>
      <c r="AD492">
        <f t="shared" si="69"/>
        <v>2026</v>
      </c>
      <c r="AE492">
        <f t="shared" si="70"/>
        <v>2026</v>
      </c>
      <c r="AF492">
        <f t="shared" si="71"/>
        <v>4</v>
      </c>
    </row>
    <row r="493" spans="1:32" x14ac:dyDescent="0.25">
      <c r="A493" s="59">
        <v>46114.125</v>
      </c>
      <c r="B493" s="2">
        <v>1479</v>
      </c>
      <c r="C493" s="19" t="s">
        <v>1</v>
      </c>
      <c r="D493" s="19" t="s">
        <v>2</v>
      </c>
      <c r="E493" s="19" t="s">
        <v>2</v>
      </c>
      <c r="F493" s="19" t="s">
        <v>602</v>
      </c>
      <c r="G493" s="19" t="s">
        <v>91</v>
      </c>
      <c r="H493" s="19" t="s">
        <v>603</v>
      </c>
      <c r="I493" s="19" t="s">
        <v>1714</v>
      </c>
      <c r="J493" s="2" t="s">
        <v>2</v>
      </c>
      <c r="K493" s="20">
        <v>46114.125</v>
      </c>
      <c r="L493" s="20">
        <v>46119.125</v>
      </c>
      <c r="M493" s="22">
        <v>155</v>
      </c>
      <c r="N493" s="21">
        <v>220000</v>
      </c>
      <c r="O493" s="2" t="s">
        <v>76</v>
      </c>
      <c r="P493" s="2" t="s">
        <v>4</v>
      </c>
      <c r="Q493" s="2" t="s">
        <v>5</v>
      </c>
      <c r="R493" s="21">
        <f t="shared" si="63"/>
        <v>220000</v>
      </c>
      <c r="S493" s="21">
        <v>220000</v>
      </c>
      <c r="T493" s="5">
        <f t="shared" si="64"/>
        <v>622500</v>
      </c>
      <c r="U493">
        <f t="shared" si="65"/>
        <v>4</v>
      </c>
      <c r="V493">
        <f t="shared" si="66"/>
        <v>4</v>
      </c>
      <c r="W493" s="5">
        <f t="shared" si="67"/>
        <v>0</v>
      </c>
      <c r="X493" s="2" t="s">
        <v>6</v>
      </c>
      <c r="Y493" s="2" t="s">
        <v>2</v>
      </c>
      <c r="Z493">
        <v>969</v>
      </c>
      <c r="AA493" t="s">
        <v>1715</v>
      </c>
      <c r="AC493">
        <f t="shared" si="68"/>
        <v>2026</v>
      </c>
      <c r="AD493">
        <f t="shared" si="69"/>
        <v>2026</v>
      </c>
      <c r="AE493">
        <f t="shared" si="70"/>
        <v>2026</v>
      </c>
      <c r="AF493">
        <f t="shared" si="71"/>
        <v>4</v>
      </c>
    </row>
    <row r="494" spans="1:32" x14ac:dyDescent="0.25">
      <c r="A494" s="59">
        <v>46126.125</v>
      </c>
      <c r="B494" s="2">
        <v>1480</v>
      </c>
      <c r="C494" s="19" t="s">
        <v>1444</v>
      </c>
      <c r="D494" s="19" t="s">
        <v>2</v>
      </c>
      <c r="E494" s="19" t="s">
        <v>2</v>
      </c>
      <c r="F494" s="19" t="s">
        <v>1716</v>
      </c>
      <c r="G494" s="19" t="s">
        <v>1717</v>
      </c>
      <c r="H494" s="19" t="s">
        <v>1718</v>
      </c>
      <c r="I494" s="19" t="s">
        <v>1719</v>
      </c>
      <c r="J494" s="2" t="s">
        <v>2</v>
      </c>
      <c r="K494" s="20">
        <v>46135.125</v>
      </c>
      <c r="L494" s="20">
        <v>46128.125</v>
      </c>
      <c r="M494" s="22">
        <v>162</v>
      </c>
      <c r="N494" s="21">
        <v>225000</v>
      </c>
      <c r="O494" s="2" t="s">
        <v>76</v>
      </c>
      <c r="P494" s="2" t="s">
        <v>4</v>
      </c>
      <c r="Q494" s="2" t="s">
        <v>5</v>
      </c>
      <c r="R494" s="21">
        <f t="shared" si="63"/>
        <v>225000</v>
      </c>
      <c r="S494" s="21">
        <v>225000</v>
      </c>
      <c r="T494" s="5">
        <f t="shared" si="64"/>
        <v>622500</v>
      </c>
      <c r="U494">
        <f t="shared" si="65"/>
        <v>4</v>
      </c>
      <c r="V494">
        <f t="shared" si="66"/>
        <v>4</v>
      </c>
      <c r="W494" s="5">
        <f t="shared" si="67"/>
        <v>0</v>
      </c>
      <c r="X494" s="2" t="s">
        <v>6</v>
      </c>
      <c r="Y494" s="2" t="s">
        <v>2</v>
      </c>
      <c r="Z494">
        <v>977</v>
      </c>
      <c r="AA494" t="s">
        <v>1500</v>
      </c>
      <c r="AC494">
        <f t="shared" si="68"/>
        <v>2026</v>
      </c>
      <c r="AD494">
        <f t="shared" si="69"/>
        <v>2026</v>
      </c>
      <c r="AE494">
        <f t="shared" si="70"/>
        <v>2026</v>
      </c>
      <c r="AF494">
        <f t="shared" si="71"/>
        <v>4</v>
      </c>
    </row>
    <row r="495" spans="1:32" x14ac:dyDescent="0.25">
      <c r="A495" s="59">
        <v>46126.125</v>
      </c>
      <c r="B495" s="2">
        <v>1481</v>
      </c>
      <c r="C495" s="19" t="s">
        <v>1720</v>
      </c>
      <c r="D495" s="19" t="s">
        <v>2</v>
      </c>
      <c r="E495" s="19" t="s">
        <v>2</v>
      </c>
      <c r="F495" s="19" t="s">
        <v>1721</v>
      </c>
      <c r="G495" s="19" t="s">
        <v>796</v>
      </c>
      <c r="H495" s="19" t="s">
        <v>1722</v>
      </c>
      <c r="I495" s="19" t="s">
        <v>1723</v>
      </c>
      <c r="J495" s="2" t="s">
        <v>2</v>
      </c>
      <c r="K495" s="20">
        <v>46126.125</v>
      </c>
      <c r="L495" s="20">
        <v>46129.125</v>
      </c>
      <c r="M495" s="22">
        <v>160</v>
      </c>
      <c r="N495" s="21">
        <v>225000</v>
      </c>
      <c r="O495" s="2" t="s">
        <v>76</v>
      </c>
      <c r="P495" s="2" t="s">
        <v>4</v>
      </c>
      <c r="Q495" s="2" t="s">
        <v>5</v>
      </c>
      <c r="R495" s="21">
        <f t="shared" si="63"/>
        <v>225000</v>
      </c>
      <c r="S495" s="21">
        <v>225000</v>
      </c>
      <c r="T495" s="5">
        <f t="shared" si="64"/>
        <v>622500</v>
      </c>
      <c r="U495">
        <f t="shared" si="65"/>
        <v>4</v>
      </c>
      <c r="V495">
        <f t="shared" si="66"/>
        <v>4</v>
      </c>
      <c r="W495" s="5">
        <f t="shared" si="67"/>
        <v>0</v>
      </c>
      <c r="X495" s="2" t="s">
        <v>6</v>
      </c>
      <c r="Y495" s="2" t="s">
        <v>2</v>
      </c>
      <c r="Z495">
        <v>974</v>
      </c>
      <c r="AA495" t="s">
        <v>1500</v>
      </c>
      <c r="AC495">
        <f t="shared" si="68"/>
        <v>2026</v>
      </c>
      <c r="AD495">
        <f t="shared" si="69"/>
        <v>2026</v>
      </c>
      <c r="AE495">
        <f t="shared" si="70"/>
        <v>2026</v>
      </c>
      <c r="AF495">
        <f t="shared" si="71"/>
        <v>4</v>
      </c>
    </row>
    <row r="496" spans="1:32" x14ac:dyDescent="0.25">
      <c r="A496" s="59">
        <v>46126.125</v>
      </c>
      <c r="B496" s="2">
        <v>1482</v>
      </c>
      <c r="C496" s="19" t="s">
        <v>1720</v>
      </c>
      <c r="D496" s="19" t="s">
        <v>2</v>
      </c>
      <c r="E496" s="19" t="s">
        <v>2</v>
      </c>
      <c r="F496" s="19" t="s">
        <v>1724</v>
      </c>
      <c r="G496" s="19" t="s">
        <v>796</v>
      </c>
      <c r="H496" s="19" t="s">
        <v>1725</v>
      </c>
      <c r="I496" s="19" t="s">
        <v>1726</v>
      </c>
      <c r="J496" s="2" t="s">
        <v>2</v>
      </c>
      <c r="K496" s="20">
        <v>46133.125</v>
      </c>
      <c r="L496" s="20">
        <v>46129.125</v>
      </c>
      <c r="M496" s="22">
        <v>50</v>
      </c>
      <c r="N496" s="21">
        <v>72000</v>
      </c>
      <c r="O496" s="2" t="s">
        <v>76</v>
      </c>
      <c r="P496" s="2" t="s">
        <v>4</v>
      </c>
      <c r="Q496" s="2" t="s">
        <v>5</v>
      </c>
      <c r="R496" s="21">
        <f t="shared" si="63"/>
        <v>72000</v>
      </c>
      <c r="S496" s="21">
        <v>72000</v>
      </c>
      <c r="T496" s="5">
        <f t="shared" si="64"/>
        <v>622500</v>
      </c>
      <c r="U496">
        <f t="shared" si="65"/>
        <v>4</v>
      </c>
      <c r="V496">
        <f t="shared" si="66"/>
        <v>4</v>
      </c>
      <c r="W496" s="5">
        <f t="shared" si="67"/>
        <v>0</v>
      </c>
      <c r="X496" s="2" t="s">
        <v>6</v>
      </c>
      <c r="Y496" s="2" t="s">
        <v>2</v>
      </c>
      <c r="Z496">
        <v>974</v>
      </c>
      <c r="AA496" t="s">
        <v>1500</v>
      </c>
      <c r="AC496">
        <f t="shared" si="68"/>
        <v>2026</v>
      </c>
      <c r="AD496">
        <f t="shared" si="69"/>
        <v>2026</v>
      </c>
      <c r="AE496">
        <f t="shared" si="70"/>
        <v>2026</v>
      </c>
      <c r="AF496">
        <f t="shared" si="71"/>
        <v>4</v>
      </c>
    </row>
    <row r="497" spans="1:32" x14ac:dyDescent="0.25">
      <c r="A497" s="59">
        <v>46127.125</v>
      </c>
      <c r="B497" s="2">
        <v>1483</v>
      </c>
      <c r="C497" s="19" t="s">
        <v>1</v>
      </c>
      <c r="D497" s="19" t="s">
        <v>2</v>
      </c>
      <c r="E497" s="19" t="s">
        <v>1727</v>
      </c>
      <c r="F497" s="19" t="s">
        <v>136</v>
      </c>
      <c r="G497" s="19" t="s">
        <v>137</v>
      </c>
      <c r="H497" s="19" t="s">
        <v>138</v>
      </c>
      <c r="I497" s="19" t="s">
        <v>1728</v>
      </c>
      <c r="J497" s="2" t="s">
        <v>2</v>
      </c>
      <c r="K497" s="20">
        <v>46127.125</v>
      </c>
      <c r="L497" s="20">
        <v>46129.125</v>
      </c>
      <c r="M497" s="22">
        <v>140</v>
      </c>
      <c r="N497" s="21">
        <v>198500</v>
      </c>
      <c r="O497" s="2" t="s">
        <v>3</v>
      </c>
      <c r="P497" s="2" t="s">
        <v>4</v>
      </c>
      <c r="Q497" s="2" t="s">
        <v>5</v>
      </c>
      <c r="R497" s="21">
        <f t="shared" si="63"/>
        <v>198500</v>
      </c>
      <c r="S497" s="21">
        <v>198500</v>
      </c>
      <c r="T497" s="5">
        <f t="shared" si="64"/>
        <v>622500</v>
      </c>
      <c r="U497">
        <f t="shared" si="65"/>
        <v>4</v>
      </c>
      <c r="V497">
        <f t="shared" si="66"/>
        <v>4</v>
      </c>
      <c r="W497" s="5">
        <f t="shared" si="67"/>
        <v>0</v>
      </c>
      <c r="X497" s="2" t="s">
        <v>6</v>
      </c>
      <c r="Y497" s="2" t="s">
        <v>2</v>
      </c>
      <c r="Z497">
        <v>973</v>
      </c>
      <c r="AA497" t="s">
        <v>1500</v>
      </c>
      <c r="AC497">
        <f t="shared" si="68"/>
        <v>2026</v>
      </c>
      <c r="AD497">
        <f t="shared" si="69"/>
        <v>2026</v>
      </c>
      <c r="AE497">
        <f t="shared" si="70"/>
        <v>2026</v>
      </c>
      <c r="AF497">
        <f t="shared" si="71"/>
        <v>4</v>
      </c>
    </row>
    <row r="498" spans="1:32" x14ac:dyDescent="0.25">
      <c r="A498" s="59">
        <v>46129.125</v>
      </c>
      <c r="B498" s="2">
        <v>1484</v>
      </c>
      <c r="C498" s="19" t="s">
        <v>206</v>
      </c>
      <c r="D498" s="19" t="s">
        <v>2</v>
      </c>
      <c r="E498" s="19" t="s">
        <v>2</v>
      </c>
      <c r="F498" s="19" t="s">
        <v>1533</v>
      </c>
      <c r="G498" s="19" t="s">
        <v>402</v>
      </c>
      <c r="H498" s="19" t="s">
        <v>403</v>
      </c>
      <c r="I498" s="19" t="s">
        <v>1729</v>
      </c>
      <c r="J498" s="2" t="s">
        <v>2</v>
      </c>
      <c r="K498" s="20">
        <v>46129.125</v>
      </c>
      <c r="L498" s="20">
        <v>46129.125</v>
      </c>
      <c r="M498" s="22">
        <v>130</v>
      </c>
      <c r="N498" s="21">
        <v>177000</v>
      </c>
      <c r="O498" s="2" t="s">
        <v>76</v>
      </c>
      <c r="P498" s="2" t="s">
        <v>4</v>
      </c>
      <c r="Q498" s="2" t="s">
        <v>5</v>
      </c>
      <c r="R498" s="21">
        <f t="shared" si="63"/>
        <v>177000</v>
      </c>
      <c r="S498" s="21">
        <v>177000</v>
      </c>
      <c r="T498" s="5">
        <f t="shared" si="64"/>
        <v>622500</v>
      </c>
      <c r="U498">
        <f t="shared" si="65"/>
        <v>4</v>
      </c>
      <c r="V498">
        <f t="shared" si="66"/>
        <v>4</v>
      </c>
      <c r="W498" s="5">
        <f t="shared" si="67"/>
        <v>0</v>
      </c>
      <c r="X498" s="2" t="s">
        <v>6</v>
      </c>
      <c r="Y498" s="2" t="s">
        <v>2</v>
      </c>
      <c r="Z498">
        <v>972</v>
      </c>
      <c r="AA498" t="s">
        <v>1500</v>
      </c>
      <c r="AC498">
        <f t="shared" si="68"/>
        <v>2026</v>
      </c>
      <c r="AD498">
        <f t="shared" si="69"/>
        <v>2026</v>
      </c>
      <c r="AE498">
        <f t="shared" si="70"/>
        <v>2026</v>
      </c>
      <c r="AF498">
        <f t="shared" si="71"/>
        <v>4</v>
      </c>
    </row>
    <row r="499" spans="1:32" x14ac:dyDescent="0.25">
      <c r="A499" s="59">
        <v>46129.125</v>
      </c>
      <c r="B499" s="2">
        <v>1485</v>
      </c>
      <c r="C499" s="19" t="s">
        <v>1732</v>
      </c>
      <c r="D499" s="19" t="s">
        <v>2</v>
      </c>
      <c r="E499" s="19" t="s">
        <v>2</v>
      </c>
      <c r="F499" s="19" t="s">
        <v>1249</v>
      </c>
      <c r="G499" s="19" t="s">
        <v>107</v>
      </c>
      <c r="H499" s="19" t="s">
        <v>1250</v>
      </c>
      <c r="I499" s="19" t="s">
        <v>1251</v>
      </c>
      <c r="J499" s="2" t="s">
        <v>2</v>
      </c>
      <c r="K499" s="20">
        <v>46134.125</v>
      </c>
      <c r="L499" s="20">
        <v>46150.125</v>
      </c>
      <c r="M499" s="22">
        <v>450</v>
      </c>
      <c r="N499" s="21">
        <v>636000</v>
      </c>
      <c r="O499" s="2" t="s">
        <v>3</v>
      </c>
      <c r="P499" s="2" t="s">
        <v>128</v>
      </c>
      <c r="Q499" s="2" t="s">
        <v>5</v>
      </c>
      <c r="R499" s="21">
        <f t="shared" si="63"/>
        <v>636000</v>
      </c>
      <c r="S499" s="21">
        <v>0</v>
      </c>
      <c r="T499" s="5">
        <f t="shared" si="64"/>
        <v>1258500</v>
      </c>
      <c r="U499">
        <f t="shared" si="65"/>
        <v>4</v>
      </c>
      <c r="V499">
        <f t="shared" si="66"/>
        <v>4</v>
      </c>
      <c r="W499" s="5">
        <f t="shared" si="67"/>
        <v>-636000</v>
      </c>
      <c r="X499" s="2" t="s">
        <v>6</v>
      </c>
      <c r="Y499" s="2" t="s">
        <v>2</v>
      </c>
      <c r="AA499" t="s">
        <v>1500</v>
      </c>
      <c r="AC499">
        <f t="shared" si="68"/>
        <v>2026</v>
      </c>
      <c r="AD499">
        <f t="shared" si="69"/>
        <v>2026</v>
      </c>
      <c r="AE499">
        <f t="shared" si="70"/>
        <v>2026</v>
      </c>
      <c r="AF499">
        <f t="shared" si="71"/>
        <v>5</v>
      </c>
    </row>
    <row r="500" spans="1:32" x14ac:dyDescent="0.25">
      <c r="A500" s="59">
        <v>46133.125</v>
      </c>
      <c r="B500" s="2">
        <v>1486</v>
      </c>
      <c r="C500" s="19" t="s">
        <v>564</v>
      </c>
      <c r="D500" s="19" t="s">
        <v>2</v>
      </c>
      <c r="E500" s="19" t="s">
        <v>2</v>
      </c>
      <c r="F500" s="19" t="s">
        <v>86</v>
      </c>
      <c r="G500" s="19" t="s">
        <v>195</v>
      </c>
      <c r="H500" s="19" t="s">
        <v>1730</v>
      </c>
      <c r="I500" s="19" t="s">
        <v>1731</v>
      </c>
      <c r="J500" s="2" t="s">
        <v>2</v>
      </c>
      <c r="K500" s="20">
        <v>46133.125</v>
      </c>
      <c r="L500" s="20">
        <v>46134.125</v>
      </c>
      <c r="M500" s="22">
        <v>190</v>
      </c>
      <c r="N500" s="21">
        <v>266000</v>
      </c>
      <c r="O500" s="2" t="s">
        <v>76</v>
      </c>
      <c r="P500" s="2" t="s">
        <v>4</v>
      </c>
      <c r="Q500" s="2" t="s">
        <v>5</v>
      </c>
      <c r="R500" s="21">
        <f t="shared" si="63"/>
        <v>266000</v>
      </c>
      <c r="S500" s="21">
        <v>266000</v>
      </c>
      <c r="T500" s="5">
        <f t="shared" si="64"/>
        <v>1258500</v>
      </c>
      <c r="U500">
        <f t="shared" si="65"/>
        <v>4</v>
      </c>
      <c r="V500">
        <f t="shared" si="66"/>
        <v>4</v>
      </c>
      <c r="W500" s="5">
        <f t="shared" si="67"/>
        <v>0</v>
      </c>
      <c r="X500" s="2" t="s">
        <v>6</v>
      </c>
      <c r="Y500" s="2" t="s">
        <v>2</v>
      </c>
      <c r="Z500">
        <v>975</v>
      </c>
      <c r="AA500" t="s">
        <v>1500</v>
      </c>
      <c r="AC500">
        <f t="shared" si="68"/>
        <v>2026</v>
      </c>
      <c r="AD500">
        <f t="shared" si="69"/>
        <v>2026</v>
      </c>
      <c r="AE500">
        <f t="shared" si="70"/>
        <v>2026</v>
      </c>
      <c r="AF500">
        <f t="shared" si="71"/>
        <v>4</v>
      </c>
    </row>
    <row r="501" spans="1:32" x14ac:dyDescent="0.25">
      <c r="A501" s="59">
        <v>46141.125</v>
      </c>
      <c r="B501" s="2">
        <v>1487</v>
      </c>
      <c r="C501" s="19" t="s">
        <v>1733</v>
      </c>
      <c r="D501" s="19" t="s">
        <v>2</v>
      </c>
      <c r="E501" s="19" t="s">
        <v>2</v>
      </c>
      <c r="F501" s="19" t="s">
        <v>86</v>
      </c>
      <c r="G501" s="19" t="s">
        <v>94</v>
      </c>
      <c r="H501" s="19" t="s">
        <v>1734</v>
      </c>
      <c r="I501" s="19" t="s">
        <v>1735</v>
      </c>
      <c r="J501" s="2" t="s">
        <v>2</v>
      </c>
      <c r="K501" s="20">
        <v>46141.125</v>
      </c>
      <c r="L501" s="20">
        <v>46142.125</v>
      </c>
      <c r="M501" s="22">
        <v>125</v>
      </c>
      <c r="N501" s="21">
        <v>177500</v>
      </c>
      <c r="O501" s="2" t="s">
        <v>3</v>
      </c>
      <c r="P501" s="2" t="s">
        <v>4</v>
      </c>
      <c r="Q501" s="2" t="s">
        <v>5</v>
      </c>
      <c r="R501" s="85">
        <f t="shared" si="63"/>
        <v>177500</v>
      </c>
      <c r="S501" s="21">
        <v>0</v>
      </c>
      <c r="T501" s="5">
        <f t="shared" si="64"/>
        <v>1436000</v>
      </c>
      <c r="U501" s="86">
        <f t="shared" si="65"/>
        <v>4</v>
      </c>
      <c r="V501" s="86">
        <f t="shared" si="66"/>
        <v>4</v>
      </c>
      <c r="W501" s="5">
        <f t="shared" si="67"/>
        <v>-177500</v>
      </c>
      <c r="X501" s="2" t="s">
        <v>6</v>
      </c>
      <c r="Y501" s="2" t="s">
        <v>2</v>
      </c>
      <c r="Z501">
        <v>981</v>
      </c>
      <c r="AA501" t="s">
        <v>1500</v>
      </c>
      <c r="AC501" s="86">
        <f t="shared" si="68"/>
        <v>2026</v>
      </c>
      <c r="AD501" s="86">
        <f t="shared" si="69"/>
        <v>2026</v>
      </c>
      <c r="AE501" s="86">
        <f t="shared" si="70"/>
        <v>2026</v>
      </c>
      <c r="AF501" s="86">
        <f t="shared" si="71"/>
        <v>4</v>
      </c>
    </row>
    <row r="502" spans="1:32" x14ac:dyDescent="0.25">
      <c r="A502" s="59">
        <v>46147.125</v>
      </c>
      <c r="B502" s="2">
        <v>1488</v>
      </c>
      <c r="C502" s="19" t="s">
        <v>1736</v>
      </c>
      <c r="D502" s="19" t="s">
        <v>2</v>
      </c>
      <c r="E502" s="19" t="s">
        <v>2</v>
      </c>
      <c r="F502" s="19" t="s">
        <v>1737</v>
      </c>
      <c r="G502" s="19" t="s">
        <v>1738</v>
      </c>
      <c r="H502" s="19" t="s">
        <v>1739</v>
      </c>
      <c r="I502" s="19" t="s">
        <v>1740</v>
      </c>
      <c r="J502" s="2" t="s">
        <v>2</v>
      </c>
      <c r="K502" s="20">
        <v>46147.125</v>
      </c>
      <c r="L502" s="20">
        <v>46148.125</v>
      </c>
      <c r="M502" s="22">
        <v>200</v>
      </c>
      <c r="N502" s="21">
        <v>284000</v>
      </c>
      <c r="O502" s="2" t="s">
        <v>3</v>
      </c>
      <c r="P502" s="2" t="s">
        <v>4</v>
      </c>
      <c r="Q502" s="2" t="s">
        <v>5</v>
      </c>
      <c r="R502" s="85">
        <f t="shared" si="63"/>
        <v>284000</v>
      </c>
      <c r="S502" s="21">
        <v>284000</v>
      </c>
      <c r="T502" s="5">
        <f t="shared" si="64"/>
        <v>1436000</v>
      </c>
      <c r="U502" s="86">
        <f t="shared" si="65"/>
        <v>5</v>
      </c>
      <c r="V502" s="86">
        <f t="shared" si="66"/>
        <v>5</v>
      </c>
      <c r="W502" s="5">
        <f t="shared" si="67"/>
        <v>0</v>
      </c>
      <c r="X502" s="2" t="s">
        <v>6</v>
      </c>
      <c r="Y502" s="2" t="s">
        <v>2</v>
      </c>
      <c r="Z502">
        <v>980</v>
      </c>
      <c r="AA502" t="s">
        <v>1500</v>
      </c>
      <c r="AC502" s="86">
        <f t="shared" si="68"/>
        <v>2026</v>
      </c>
      <c r="AD502" s="86">
        <f t="shared" si="69"/>
        <v>2026</v>
      </c>
      <c r="AE502" s="86">
        <f t="shared" si="70"/>
        <v>2026</v>
      </c>
      <c r="AF502" s="86">
        <f t="shared" si="71"/>
        <v>5</v>
      </c>
    </row>
    <row r="503" spans="1:32" x14ac:dyDescent="0.25">
      <c r="A503" s="59">
        <v>46148.125</v>
      </c>
      <c r="B503" s="2">
        <v>1489</v>
      </c>
      <c r="C503" s="19" t="s">
        <v>799</v>
      </c>
      <c r="D503" s="19" t="s">
        <v>2</v>
      </c>
      <c r="E503" s="19" t="s">
        <v>2</v>
      </c>
      <c r="F503" s="19" t="s">
        <v>272</v>
      </c>
      <c r="G503" s="19" t="s">
        <v>351</v>
      </c>
      <c r="H503" s="19" t="s">
        <v>1741</v>
      </c>
      <c r="I503" s="19" t="s">
        <v>1742</v>
      </c>
      <c r="J503" s="2" t="s">
        <v>2</v>
      </c>
      <c r="K503" s="20">
        <v>46148.125</v>
      </c>
      <c r="L503" s="20">
        <v>46150.125</v>
      </c>
      <c r="M503" s="22">
        <v>200</v>
      </c>
      <c r="N503" s="21">
        <v>282000</v>
      </c>
      <c r="O503" s="2" t="s">
        <v>3</v>
      </c>
      <c r="P503" s="2" t="s">
        <v>4</v>
      </c>
      <c r="Q503" s="2" t="s">
        <v>5</v>
      </c>
      <c r="R503" s="85">
        <f t="shared" si="63"/>
        <v>282000</v>
      </c>
      <c r="S503" s="21">
        <v>0</v>
      </c>
      <c r="T503" s="5">
        <f t="shared" si="64"/>
        <v>1718000</v>
      </c>
      <c r="U503" s="86">
        <f t="shared" si="65"/>
        <v>5</v>
      </c>
      <c r="V503" s="86">
        <f t="shared" si="66"/>
        <v>5</v>
      </c>
      <c r="W503" s="5">
        <f t="shared" si="67"/>
        <v>-282000</v>
      </c>
      <c r="X503" s="2" t="s">
        <v>6</v>
      </c>
      <c r="Y503" s="2" t="s">
        <v>2</v>
      </c>
      <c r="Z503">
        <v>979</v>
      </c>
      <c r="AA503" t="s">
        <v>1500</v>
      </c>
      <c r="AC503" s="86">
        <f t="shared" si="68"/>
        <v>2026</v>
      </c>
      <c r="AD503" s="86">
        <f t="shared" si="69"/>
        <v>2026</v>
      </c>
      <c r="AE503" s="86">
        <f t="shared" si="70"/>
        <v>2026</v>
      </c>
      <c r="AF503" s="86">
        <f t="shared" si="71"/>
        <v>5</v>
      </c>
    </row>
    <row r="504" spans="1:32" x14ac:dyDescent="0.25">
      <c r="A504" s="59">
        <v>46148.125</v>
      </c>
      <c r="B504" s="2">
        <v>1490</v>
      </c>
      <c r="C504" s="19" t="s">
        <v>789</v>
      </c>
      <c r="D504" s="19" t="s">
        <v>2</v>
      </c>
      <c r="E504" s="19" t="s">
        <v>2</v>
      </c>
      <c r="F504" s="19" t="s">
        <v>86</v>
      </c>
      <c r="G504" s="19" t="s">
        <v>94</v>
      </c>
      <c r="H504" s="19" t="s">
        <v>95</v>
      </c>
      <c r="I504" s="19" t="s">
        <v>1743</v>
      </c>
      <c r="J504" s="2" t="s">
        <v>2</v>
      </c>
      <c r="K504" s="20">
        <v>46148.125</v>
      </c>
      <c r="L504" s="20">
        <v>46150.125</v>
      </c>
      <c r="M504" s="22">
        <v>150</v>
      </c>
      <c r="N504" s="21">
        <v>210000</v>
      </c>
      <c r="O504" s="2" t="s">
        <v>3</v>
      </c>
      <c r="P504" s="2" t="s">
        <v>4</v>
      </c>
      <c r="Q504" s="2" t="s">
        <v>5</v>
      </c>
      <c r="R504" s="85">
        <f t="shared" si="63"/>
        <v>210000</v>
      </c>
      <c r="S504" s="21">
        <v>0</v>
      </c>
      <c r="T504" s="5">
        <f t="shared" si="64"/>
        <v>1928000</v>
      </c>
      <c r="U504" s="86">
        <f t="shared" si="65"/>
        <v>5</v>
      </c>
      <c r="V504" s="86">
        <f t="shared" si="66"/>
        <v>5</v>
      </c>
      <c r="W504" s="5">
        <f t="shared" si="67"/>
        <v>-210000</v>
      </c>
      <c r="X504" s="2" t="s">
        <v>6</v>
      </c>
      <c r="Y504" s="2" t="s">
        <v>2</v>
      </c>
      <c r="Z504">
        <v>978</v>
      </c>
      <c r="AA504" t="s">
        <v>1500</v>
      </c>
      <c r="AC504" s="86">
        <f t="shared" si="68"/>
        <v>2026</v>
      </c>
      <c r="AD504" s="86">
        <f t="shared" si="69"/>
        <v>2026</v>
      </c>
      <c r="AE504" s="86">
        <f t="shared" si="70"/>
        <v>2026</v>
      </c>
      <c r="AF504" s="86">
        <f t="shared" si="71"/>
        <v>5</v>
      </c>
    </row>
    <row r="505" spans="1:32" x14ac:dyDescent="0.25">
      <c r="A505" s="59">
        <v>46155.125</v>
      </c>
      <c r="B505" s="2">
        <v>1491</v>
      </c>
      <c r="C505" s="19" t="s">
        <v>1744</v>
      </c>
      <c r="D505" s="19" t="s">
        <v>2</v>
      </c>
      <c r="E505" s="19" t="s">
        <v>2</v>
      </c>
      <c r="F505" s="19" t="s">
        <v>1403</v>
      </c>
      <c r="G505" s="19" t="s">
        <v>163</v>
      </c>
      <c r="H505" s="19" t="s">
        <v>1745</v>
      </c>
      <c r="I505" s="19" t="s">
        <v>1746</v>
      </c>
      <c r="J505" s="2" t="s">
        <v>2</v>
      </c>
      <c r="K505" s="20">
        <v>46155.125</v>
      </c>
      <c r="L505" s="20"/>
      <c r="M505" s="22">
        <v>200</v>
      </c>
      <c r="N505" s="21">
        <v>281000</v>
      </c>
      <c r="O505" s="2" t="s">
        <v>3</v>
      </c>
      <c r="P505" s="2" t="s">
        <v>128</v>
      </c>
      <c r="Q505" s="2" t="s">
        <v>97</v>
      </c>
      <c r="R505" s="85">
        <f t="shared" si="63"/>
        <v>0</v>
      </c>
      <c r="S505" s="21">
        <v>0</v>
      </c>
      <c r="T505" s="5">
        <f t="shared" si="64"/>
        <v>1928000</v>
      </c>
      <c r="U505" s="86">
        <f t="shared" si="65"/>
        <v>5</v>
      </c>
      <c r="V505" s="86">
        <f t="shared" si="66"/>
        <v>5</v>
      </c>
      <c r="W505" s="5">
        <f t="shared" si="67"/>
        <v>0</v>
      </c>
      <c r="X505" s="2" t="s">
        <v>6</v>
      </c>
      <c r="Y505" s="2" t="s">
        <v>2</v>
      </c>
      <c r="AA505" t="s">
        <v>1500</v>
      </c>
      <c r="AC505" s="86">
        <f t="shared" si="68"/>
        <v>2026</v>
      </c>
      <c r="AD505" s="86">
        <f t="shared" si="69"/>
        <v>2026</v>
      </c>
      <c r="AE505" s="86" t="str">
        <f t="shared" si="70"/>
        <v/>
      </c>
      <c r="AF505" s="86" t="str">
        <f t="shared" si="71"/>
        <v/>
      </c>
    </row>
    <row r="506" spans="1:32" x14ac:dyDescent="0.25">
      <c r="A506" s="59">
        <v>46156.125</v>
      </c>
      <c r="B506" s="2">
        <v>1492</v>
      </c>
      <c r="C506" s="19" t="s">
        <v>1732</v>
      </c>
      <c r="D506" s="19" t="s">
        <v>2</v>
      </c>
      <c r="E506" s="19" t="s">
        <v>2</v>
      </c>
      <c r="F506" s="19" t="s">
        <v>1747</v>
      </c>
      <c r="G506" s="19" t="s">
        <v>107</v>
      </c>
      <c r="H506" s="19" t="s">
        <v>265</v>
      </c>
      <c r="I506" s="19" t="s">
        <v>1260</v>
      </c>
      <c r="J506" s="2" t="s">
        <v>2</v>
      </c>
      <c r="K506" s="20">
        <v>46157.125</v>
      </c>
      <c r="L506" s="20">
        <v>46156.125</v>
      </c>
      <c r="M506" s="22">
        <v>300</v>
      </c>
      <c r="N506" s="21">
        <v>425000</v>
      </c>
      <c r="O506" s="2" t="s">
        <v>3</v>
      </c>
      <c r="P506" s="2" t="s">
        <v>4</v>
      </c>
      <c r="Q506" s="2" t="s">
        <v>5</v>
      </c>
      <c r="R506" s="85">
        <f t="shared" si="63"/>
        <v>425000</v>
      </c>
      <c r="S506" s="21">
        <v>0</v>
      </c>
      <c r="T506" s="5">
        <f t="shared" si="64"/>
        <v>2353000</v>
      </c>
      <c r="U506" s="86">
        <f t="shared" si="65"/>
        <v>5</v>
      </c>
      <c r="V506" s="86">
        <f t="shared" si="66"/>
        <v>5</v>
      </c>
      <c r="W506" s="5">
        <f t="shared" si="67"/>
        <v>-425000</v>
      </c>
      <c r="X506" s="2" t="s">
        <v>6</v>
      </c>
      <c r="Y506" s="2" t="s">
        <v>2</v>
      </c>
      <c r="AA506" t="s">
        <v>1500</v>
      </c>
      <c r="AC506" s="86">
        <f t="shared" si="68"/>
        <v>2026</v>
      </c>
      <c r="AD506" s="86">
        <f t="shared" si="69"/>
        <v>2026</v>
      </c>
      <c r="AE506" s="86">
        <f t="shared" si="70"/>
        <v>2026</v>
      </c>
      <c r="AF506" s="86">
        <f t="shared" si="71"/>
        <v>5</v>
      </c>
    </row>
    <row r="507" spans="1:32" x14ac:dyDescent="0.25">
      <c r="A507" s="59">
        <v>46157.125</v>
      </c>
      <c r="B507" s="2">
        <v>1493</v>
      </c>
      <c r="C507" s="19" t="s">
        <v>1132</v>
      </c>
      <c r="D507" s="19" t="s">
        <v>2</v>
      </c>
      <c r="E507" s="19" t="s">
        <v>2</v>
      </c>
      <c r="F507" s="19" t="s">
        <v>1748</v>
      </c>
      <c r="G507" s="19" t="s">
        <v>1749</v>
      </c>
      <c r="H507" s="19" t="s">
        <v>1750</v>
      </c>
      <c r="I507" s="19" t="s">
        <v>1751</v>
      </c>
      <c r="J507" s="2" t="s">
        <v>2</v>
      </c>
      <c r="K507" s="20">
        <v>46157.125</v>
      </c>
      <c r="L507" s="20"/>
      <c r="M507" s="22">
        <v>150</v>
      </c>
      <c r="N507" s="21">
        <v>213000</v>
      </c>
      <c r="O507" s="2" t="s">
        <v>3</v>
      </c>
      <c r="P507" s="2" t="s">
        <v>4</v>
      </c>
      <c r="Q507" s="2" t="s">
        <v>97</v>
      </c>
      <c r="R507" s="85">
        <f t="shared" si="63"/>
        <v>0</v>
      </c>
      <c r="S507" s="21">
        <v>0</v>
      </c>
      <c r="T507" s="5">
        <f t="shared" si="64"/>
        <v>2353000</v>
      </c>
      <c r="U507" s="86">
        <f t="shared" si="65"/>
        <v>5</v>
      </c>
      <c r="V507" s="86">
        <f t="shared" si="66"/>
        <v>5</v>
      </c>
      <c r="W507" s="5">
        <f t="shared" si="67"/>
        <v>0</v>
      </c>
      <c r="X507" s="2" t="s">
        <v>6</v>
      </c>
      <c r="Y507" s="2" t="s">
        <v>2</v>
      </c>
      <c r="AA507" t="s">
        <v>1500</v>
      </c>
      <c r="AC507" s="86">
        <f t="shared" si="68"/>
        <v>2026</v>
      </c>
      <c r="AD507" s="86">
        <f t="shared" si="69"/>
        <v>2026</v>
      </c>
      <c r="AE507" s="86" t="str">
        <f t="shared" si="70"/>
        <v/>
      </c>
      <c r="AF507" s="86" t="str">
        <f t="shared" si="71"/>
        <v/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8"/>
  <sheetViews>
    <sheetView topLeftCell="A22" zoomScaleNormal="100" workbookViewId="0">
      <selection activeCell="B40" sqref="B40"/>
    </sheetView>
  </sheetViews>
  <sheetFormatPr baseColWidth="10" defaultRowHeight="15" x14ac:dyDescent="0.25"/>
  <cols>
    <col min="6" max="6" width="11.42578125" style="5"/>
    <col min="9" max="9" width="11.42578125" style="6"/>
    <col min="12" max="12" width="12.7109375" bestFit="1" customWidth="1"/>
    <col min="18" max="18" width="11.42578125" style="3"/>
    <col min="20" max="20" width="11.42578125" style="3"/>
  </cols>
  <sheetData>
    <row r="1" spans="1:12" ht="91.5" thickBot="1" x14ac:dyDescent="0.3">
      <c r="A1" s="26">
        <v>2024</v>
      </c>
      <c r="B1" s="23" t="s">
        <v>39</v>
      </c>
      <c r="C1" s="23" t="s">
        <v>40</v>
      </c>
      <c r="D1" s="23" t="s">
        <v>41</v>
      </c>
      <c r="E1" s="23" t="s">
        <v>120</v>
      </c>
      <c r="F1" s="25" t="s">
        <v>42</v>
      </c>
      <c r="G1" s="24" t="s">
        <v>995</v>
      </c>
      <c r="H1" s="23" t="s">
        <v>58</v>
      </c>
      <c r="I1" s="40" t="s">
        <v>121</v>
      </c>
      <c r="J1" s="50"/>
      <c r="K1" s="50" t="s">
        <v>43</v>
      </c>
      <c r="L1" s="51" t="s">
        <v>44</v>
      </c>
    </row>
    <row r="2" spans="1:12" x14ac:dyDescent="0.25">
      <c r="A2" s="52" t="s">
        <v>45</v>
      </c>
      <c r="B2" s="47">
        <v>700000</v>
      </c>
      <c r="C2" s="47"/>
      <c r="D2" s="47">
        <v>700000</v>
      </c>
      <c r="E2" s="48">
        <f>[1]Enero!$D$8+[1]Enero!$D$10</f>
        <v>3400</v>
      </c>
      <c r="F2" s="48">
        <f>[1]Enero!$D$5</f>
        <v>4100</v>
      </c>
      <c r="G2" s="48">
        <f>[2]Enero!$D$6</f>
        <v>0</v>
      </c>
      <c r="H2" s="48">
        <v>42052.97</v>
      </c>
      <c r="I2" s="48">
        <f>[1]Enero!$D$7+ [1]Enero!$D$9</f>
        <v>1300</v>
      </c>
      <c r="J2" s="43"/>
      <c r="K2" s="41">
        <f>[1]Enero!$C$58</f>
        <v>13729.76</v>
      </c>
      <c r="L2" s="44">
        <f t="shared" ref="L2:L13" si="0">SUM(B2:K2)</f>
        <v>1464582.73</v>
      </c>
    </row>
    <row r="3" spans="1:12" x14ac:dyDescent="0.25">
      <c r="A3" s="52" t="s">
        <v>46</v>
      </c>
      <c r="B3" s="48">
        <v>770000</v>
      </c>
      <c r="C3" s="48"/>
      <c r="D3" s="48">
        <v>770000</v>
      </c>
      <c r="E3" s="48">
        <f>[1]Febrero!$D$8+[1]Febrero!$D$10</f>
        <v>3400</v>
      </c>
      <c r="F3" s="48">
        <f>[1]Febrero!$D$5</f>
        <v>6500</v>
      </c>
      <c r="G3" s="48">
        <f>[2]Febrero!$D$6</f>
        <v>0</v>
      </c>
      <c r="H3" s="48">
        <v>52019.61</v>
      </c>
      <c r="I3" s="48">
        <f>[1]Febrero!$D$7+ [1]Febrero!$D$9</f>
        <v>218540</v>
      </c>
      <c r="J3" s="43"/>
      <c r="K3" s="41">
        <f>[1]Febrero!$C$58</f>
        <v>162908.07</v>
      </c>
      <c r="L3" s="44">
        <f t="shared" si="0"/>
        <v>1983367.6800000002</v>
      </c>
    </row>
    <row r="4" spans="1:12" x14ac:dyDescent="0.25">
      <c r="A4" s="52" t="s">
        <v>47</v>
      </c>
      <c r="B4" s="48">
        <v>770000</v>
      </c>
      <c r="C4" s="48"/>
      <c r="D4" s="48">
        <v>770000</v>
      </c>
      <c r="E4" s="48">
        <f>[1]Marzo!$D$8+[1]Marzo!$D$10</f>
        <v>4200</v>
      </c>
      <c r="F4" s="48">
        <f>[1]Marzo!$D$5</f>
        <v>6500</v>
      </c>
      <c r="G4" s="48">
        <f>[2]Marzo!$D$6</f>
        <v>0</v>
      </c>
      <c r="H4" s="48">
        <v>52019.61</v>
      </c>
      <c r="I4" s="48">
        <f>[1]Marzo!$D$7+ [1]Marzo!$D$9</f>
        <v>257410</v>
      </c>
      <c r="J4" s="43"/>
      <c r="K4" s="41">
        <f>[1]Marzo!$C$58</f>
        <v>69024.19</v>
      </c>
      <c r="L4" s="44">
        <f t="shared" si="0"/>
        <v>1929153.8</v>
      </c>
    </row>
    <row r="5" spans="1:12" x14ac:dyDescent="0.25">
      <c r="A5" s="52" t="s">
        <v>48</v>
      </c>
      <c r="B5" s="48">
        <v>770000</v>
      </c>
      <c r="C5" s="48"/>
      <c r="D5" s="48">
        <v>770000</v>
      </c>
      <c r="E5" s="48">
        <f>[1]Abril!$D$8+[1]Abril!$D$10</f>
        <v>4200</v>
      </c>
      <c r="F5" s="48">
        <f>[1]Abril!$D$5</f>
        <v>12350</v>
      </c>
      <c r="G5" s="48">
        <f>[2]Abril!$D$6</f>
        <v>0</v>
      </c>
      <c r="H5" s="48">
        <v>52019.61</v>
      </c>
      <c r="I5" s="48">
        <f>[1]Abril!$D$7+ [1]Abril!$D$9</f>
        <v>303300</v>
      </c>
      <c r="J5" s="43"/>
      <c r="K5" s="41">
        <f>[1]Abril!$C$58</f>
        <v>31252.73</v>
      </c>
      <c r="L5" s="44">
        <f t="shared" si="0"/>
        <v>1943122.34</v>
      </c>
    </row>
    <row r="6" spans="1:12" x14ac:dyDescent="0.25">
      <c r="A6" s="52" t="s">
        <v>49</v>
      </c>
      <c r="B6" s="48">
        <v>770000</v>
      </c>
      <c r="C6" s="48"/>
      <c r="D6" s="48">
        <v>770000</v>
      </c>
      <c r="E6" s="48">
        <f>[1]Mayo!$D$8+[1]Mayo!$D$10</f>
        <v>6300</v>
      </c>
      <c r="F6" s="48">
        <f>[1]Mayo!$D$5</f>
        <v>13215</v>
      </c>
      <c r="G6" s="48">
        <f>[2]Mayo!$D$6</f>
        <v>0</v>
      </c>
      <c r="H6" s="48">
        <v>52019.61</v>
      </c>
      <c r="I6" s="48">
        <f>[1]Mayo!$D$7 + [1]Mayo!$D$9</f>
        <v>333340</v>
      </c>
      <c r="J6" s="43"/>
      <c r="K6" s="41">
        <f>[1]Mayo!$C$60</f>
        <v>309378.47000000003</v>
      </c>
      <c r="L6" s="44">
        <f t="shared" si="0"/>
        <v>2254253.08</v>
      </c>
    </row>
    <row r="7" spans="1:12" x14ac:dyDescent="0.25">
      <c r="A7" s="52" t="s">
        <v>50</v>
      </c>
      <c r="B7" s="48">
        <v>900000</v>
      </c>
      <c r="C7" s="48"/>
      <c r="D7" s="48">
        <v>900000</v>
      </c>
      <c r="E7" s="48">
        <f>[1]Junio!$D$8+[1]Junio!$D$10</f>
        <v>6300</v>
      </c>
      <c r="F7" s="48">
        <f>[1]Junio!$D$5</f>
        <v>15000</v>
      </c>
      <c r="G7" s="48">
        <f>[2]Junio!$D$6</f>
        <v>0</v>
      </c>
      <c r="H7" s="48">
        <v>52019.61</v>
      </c>
      <c r="I7" s="48">
        <f>[1]Junio!$D$7+ [1]Junio!$D$9</f>
        <v>366410</v>
      </c>
      <c r="J7" s="43"/>
      <c r="K7" s="41">
        <f>[1]Junio!$C$58</f>
        <v>195581.22999999998</v>
      </c>
      <c r="L7" s="44">
        <f t="shared" si="0"/>
        <v>2435310.8400000003</v>
      </c>
    </row>
    <row r="8" spans="1:12" x14ac:dyDescent="0.25">
      <c r="A8" s="52" t="s">
        <v>51</v>
      </c>
      <c r="B8" s="48">
        <v>900000</v>
      </c>
      <c r="C8" s="48"/>
      <c r="D8" s="48">
        <v>900000</v>
      </c>
      <c r="E8" s="48">
        <f>[1]Julio!$D$8+[1]Julio!$D$10</f>
        <v>18100</v>
      </c>
      <c r="F8" s="48">
        <f>[1]Julio!$D$5</f>
        <v>25000</v>
      </c>
      <c r="G8" s="48">
        <f>[2]Julio!$D$6</f>
        <v>0</v>
      </c>
      <c r="H8" s="48">
        <v>52019.61</v>
      </c>
      <c r="I8" s="48">
        <f>[1]Julio!$D$7+ [1]Julio!$D$9</f>
        <v>402800</v>
      </c>
      <c r="J8" s="43"/>
      <c r="K8" s="41">
        <f>[1]Julio!$C$58</f>
        <v>169177.97</v>
      </c>
      <c r="L8" s="44">
        <f t="shared" si="0"/>
        <v>2467097.5800000005</v>
      </c>
    </row>
    <row r="9" spans="1:12" x14ac:dyDescent="0.25">
      <c r="A9" s="52" t="s">
        <v>52</v>
      </c>
      <c r="B9" s="48">
        <v>1200000</v>
      </c>
      <c r="C9" s="48"/>
      <c r="D9" s="48">
        <v>1200000</v>
      </c>
      <c r="E9" s="48">
        <f>[1]Agosto!$D$8+[1]Agosto!$D$10</f>
        <v>18100</v>
      </c>
      <c r="F9" s="48">
        <f>[1]Agosto!$D$5</f>
        <v>27500</v>
      </c>
      <c r="G9" s="48">
        <f>[2]Agosto!$D$6</f>
        <v>0</v>
      </c>
      <c r="H9" s="48">
        <v>56764.58</v>
      </c>
      <c r="I9" s="48">
        <f>[1]Agosto!$D$7+ [1]Agosto!$D$9</f>
        <v>402800</v>
      </c>
      <c r="J9" s="43"/>
      <c r="K9" s="41">
        <f>[1]Agosto!$C$58</f>
        <v>593043</v>
      </c>
      <c r="L9" s="44">
        <f t="shared" si="0"/>
        <v>3498207.58</v>
      </c>
    </row>
    <row r="10" spans="1:12" x14ac:dyDescent="0.25">
      <c r="A10" s="52" t="s">
        <v>53</v>
      </c>
      <c r="B10" s="48">
        <v>1200000</v>
      </c>
      <c r="C10" s="48"/>
      <c r="D10" s="48">
        <v>1200000</v>
      </c>
      <c r="E10" s="48">
        <f>[1]Septiembre!$D$8+[1]Septiembre!$D$10</f>
        <v>21400</v>
      </c>
      <c r="F10" s="48">
        <f>[1]Septiembre!$D$5</f>
        <v>33000</v>
      </c>
      <c r="G10" s="48">
        <f>[1]Septiembre!$D$6</f>
        <v>0</v>
      </c>
      <c r="H10" s="48">
        <v>56764.58</v>
      </c>
      <c r="I10" s="48">
        <f>[1]Septiembre!$D$7 + [1]Septiembre!$D$9</f>
        <v>402800</v>
      </c>
      <c r="J10" s="43"/>
      <c r="K10" s="41">
        <f>[1]Septiembre!$C$58</f>
        <v>353258.95</v>
      </c>
      <c r="L10" s="44">
        <f t="shared" si="0"/>
        <v>3267223.5300000003</v>
      </c>
    </row>
    <row r="11" spans="1:12" x14ac:dyDescent="0.25">
      <c r="A11" s="52" t="s">
        <v>54</v>
      </c>
      <c r="B11" s="48">
        <v>1200000</v>
      </c>
      <c r="C11" s="48"/>
      <c r="D11" s="48">
        <v>1200000</v>
      </c>
      <c r="E11" s="48">
        <f>[1]Octubre!$D$8+[1]Octubre!$D$10</f>
        <v>21400</v>
      </c>
      <c r="F11" s="48">
        <f>[1]Octubre!$D$5</f>
        <v>33000</v>
      </c>
      <c r="G11" s="48">
        <f>[1]Octubre!$D$6</f>
        <v>12000</v>
      </c>
      <c r="H11" s="48">
        <v>56764.58</v>
      </c>
      <c r="I11" s="48">
        <f>[1]Octubre!$D$7 + [1]Octubre!$D$9</f>
        <v>402800</v>
      </c>
      <c r="J11" s="43"/>
      <c r="K11" s="41">
        <f>[1]Octubre!$C$58</f>
        <v>304092.08</v>
      </c>
      <c r="L11" s="44">
        <f t="shared" si="0"/>
        <v>3230056.66</v>
      </c>
    </row>
    <row r="12" spans="1:12" x14ac:dyDescent="0.25">
      <c r="A12" s="52" t="s">
        <v>55</v>
      </c>
      <c r="B12" s="48">
        <v>1200000</v>
      </c>
      <c r="C12" s="48"/>
      <c r="D12" s="48">
        <v>1200000</v>
      </c>
      <c r="E12" s="48">
        <f>[1]Noviembre!$D$8+[1]Noviembre!$D$10</f>
        <v>22400</v>
      </c>
      <c r="F12" s="48">
        <f>[1]Noviembre!$D$5</f>
        <v>33000</v>
      </c>
      <c r="G12" s="48">
        <f>[1]Noviembre!$D$6</f>
        <v>12000</v>
      </c>
      <c r="H12" s="48">
        <v>56764.58</v>
      </c>
      <c r="I12" s="48">
        <f>[1]Noviembre!$D$7 + [1]Noviembre!$D$9</f>
        <v>414806</v>
      </c>
      <c r="J12" s="43"/>
      <c r="K12" s="41">
        <f>[1]Noviembre!$C$58</f>
        <v>264846.26</v>
      </c>
      <c r="L12" s="44">
        <f t="shared" si="0"/>
        <v>3203816.84</v>
      </c>
    </row>
    <row r="13" spans="1:12" ht="15.75" thickBot="1" x14ac:dyDescent="0.3">
      <c r="A13" s="53" t="s">
        <v>56</v>
      </c>
      <c r="B13" s="49">
        <v>1500000</v>
      </c>
      <c r="C13" s="49"/>
      <c r="D13" s="49">
        <v>1500000</v>
      </c>
      <c r="E13" s="48">
        <f>[1]Diciembre!$D$8+[1]Diciembre!$D$10</f>
        <v>22400</v>
      </c>
      <c r="F13" s="49">
        <f>[1]Diciembre!$D$5</f>
        <v>35000</v>
      </c>
      <c r="G13" s="48">
        <f>[1]Diciembre!$D$6</f>
        <v>12000</v>
      </c>
      <c r="H13" s="48">
        <v>56764.58</v>
      </c>
      <c r="I13" s="48">
        <f>[1]Diciembre!$D$7  + [1]Diciembre!$D$9</f>
        <v>864470</v>
      </c>
      <c r="J13" s="45"/>
      <c r="K13" s="42">
        <f>[1]Diciembre!$C$58</f>
        <v>55572.73000000001</v>
      </c>
      <c r="L13" s="46">
        <f t="shared" si="0"/>
        <v>4046207.31</v>
      </c>
    </row>
    <row r="14" spans="1:12" ht="15.75" thickBot="1" x14ac:dyDescent="0.3">
      <c r="A14" s="54" t="s">
        <v>57</v>
      </c>
      <c r="B14" s="55">
        <f t="shared" ref="B14:L14" si="1">SUM(B2:B13)</f>
        <v>11880000</v>
      </c>
      <c r="C14" s="55">
        <f t="shared" si="1"/>
        <v>0</v>
      </c>
      <c r="D14" s="55">
        <f t="shared" si="1"/>
        <v>11880000</v>
      </c>
      <c r="E14" s="55">
        <f t="shared" si="1"/>
        <v>151600</v>
      </c>
      <c r="F14" s="55">
        <f t="shared" si="1"/>
        <v>244165</v>
      </c>
      <c r="G14" s="55">
        <f t="shared" si="1"/>
        <v>36000</v>
      </c>
      <c r="H14" s="55">
        <f t="shared" si="1"/>
        <v>637993.52999999991</v>
      </c>
      <c r="I14" s="55">
        <f t="shared" si="1"/>
        <v>4370776</v>
      </c>
      <c r="J14" s="56">
        <f t="shared" si="1"/>
        <v>0</v>
      </c>
      <c r="K14" s="57">
        <f t="shared" si="1"/>
        <v>2521865.44</v>
      </c>
      <c r="L14" s="57">
        <f t="shared" si="1"/>
        <v>31722399.969999999</v>
      </c>
    </row>
    <row r="17" spans="1:12" ht="15.75" thickBot="1" x14ac:dyDescent="0.3"/>
    <row r="18" spans="1:12" ht="91.5" thickBot="1" x14ac:dyDescent="0.3">
      <c r="A18" s="26">
        <v>2025</v>
      </c>
      <c r="B18" s="23" t="s">
        <v>39</v>
      </c>
      <c r="C18" s="23" t="s">
        <v>40</v>
      </c>
      <c r="D18" s="23" t="s">
        <v>41</v>
      </c>
      <c r="E18" s="23" t="s">
        <v>120</v>
      </c>
      <c r="F18" s="25" t="s">
        <v>42</v>
      </c>
      <c r="G18" s="24" t="s">
        <v>995</v>
      </c>
      <c r="H18" s="23" t="s">
        <v>58</v>
      </c>
      <c r="I18" s="40" t="s">
        <v>121</v>
      </c>
      <c r="J18" s="50"/>
      <c r="K18" s="50" t="s">
        <v>43</v>
      </c>
      <c r="L18" s="51" t="s">
        <v>44</v>
      </c>
    </row>
    <row r="19" spans="1:12" x14ac:dyDescent="0.25">
      <c r="A19" s="52" t="s">
        <v>45</v>
      </c>
      <c r="B19" s="68">
        <v>1500000</v>
      </c>
      <c r="C19" s="68"/>
      <c r="D19" s="68">
        <v>1500000</v>
      </c>
      <c r="E19" s="48">
        <f>[3]Enero!$D$8+[3]Enero!$D$10</f>
        <v>22900</v>
      </c>
      <c r="F19" s="48">
        <f>[3]Enero!$D$5</f>
        <v>36000</v>
      </c>
      <c r="G19" s="48">
        <f>[3]Enero!$D$6</f>
        <v>13500</v>
      </c>
      <c r="H19" s="70">
        <v>56764.58</v>
      </c>
      <c r="I19" s="48">
        <f>[3]Enero!$D$7+ [3]Enero!$D$9</f>
        <v>2600</v>
      </c>
      <c r="J19" s="43"/>
      <c r="K19" s="41">
        <f>[3]Enero!$C$58</f>
        <v>325599.20000000007</v>
      </c>
      <c r="L19" s="44">
        <f t="shared" ref="L19:L30" si="2">SUM(B19:K19)</f>
        <v>3457363.7800000003</v>
      </c>
    </row>
    <row r="20" spans="1:12" x14ac:dyDescent="0.25">
      <c r="A20" s="52" t="s">
        <v>46</v>
      </c>
      <c r="B20" s="69">
        <v>1500000</v>
      </c>
      <c r="C20" s="69"/>
      <c r="D20" s="69">
        <v>1500000</v>
      </c>
      <c r="E20" s="48">
        <f>[3]Febrero!$D$8+[3]Febrero!$D$10</f>
        <v>22900</v>
      </c>
      <c r="F20" s="48">
        <f>[3]Febrero!$D$5</f>
        <v>36000</v>
      </c>
      <c r="G20" s="48">
        <f>[3]Febrero!$D$6</f>
        <v>13500</v>
      </c>
      <c r="H20" s="70">
        <v>95327.59</v>
      </c>
      <c r="I20" s="48">
        <f>[3]Febrero!$D$7+ [3]Febrero!$D$9</f>
        <v>449000</v>
      </c>
      <c r="J20" s="43"/>
      <c r="K20" s="41">
        <f>[3]Febrero!$C$58</f>
        <v>79883.809999999969</v>
      </c>
      <c r="L20" s="44">
        <f t="shared" si="2"/>
        <v>3696611.4</v>
      </c>
    </row>
    <row r="21" spans="1:12" x14ac:dyDescent="0.25">
      <c r="A21" s="52" t="s">
        <v>47</v>
      </c>
      <c r="B21" s="69">
        <v>1500000</v>
      </c>
      <c r="C21" s="69"/>
      <c r="D21" s="69">
        <v>1500000</v>
      </c>
      <c r="E21" s="48">
        <f>[3]Marzo!$D$8+[3]Marzo!$D$10</f>
        <v>19400</v>
      </c>
      <c r="F21" s="48">
        <f>[3]Marzo!$D$5</f>
        <v>39500</v>
      </c>
      <c r="G21" s="48">
        <f>[3]Marzo!$D$6</f>
        <v>13500</v>
      </c>
      <c r="H21" s="70">
        <v>95327.59</v>
      </c>
      <c r="I21" s="48">
        <f>[3]Marzo!$D$7+ [3]Marzo!$D$9</f>
        <v>456000</v>
      </c>
      <c r="J21" s="43"/>
      <c r="K21" s="41">
        <f>[3]Marzo!$C$58</f>
        <v>84314.89</v>
      </c>
      <c r="L21" s="44">
        <f t="shared" si="2"/>
        <v>3708042.48</v>
      </c>
    </row>
    <row r="22" spans="1:12" x14ac:dyDescent="0.25">
      <c r="A22" s="52" t="s">
        <v>48</v>
      </c>
      <c r="B22" s="69">
        <v>1500000</v>
      </c>
      <c r="C22" s="69"/>
      <c r="D22" s="69">
        <v>1500000</v>
      </c>
      <c r="E22" s="48">
        <f>[3]Abril!$D$8+[3]Abril!$D$10</f>
        <v>19400</v>
      </c>
      <c r="F22" s="48">
        <f>[3]Abril!$D$5</f>
        <v>39500</v>
      </c>
      <c r="G22" s="48">
        <f>[3]Abril!$D$6</f>
        <v>14800</v>
      </c>
      <c r="H22" s="70">
        <v>95327.59</v>
      </c>
      <c r="I22" s="48">
        <f>[3]Abril!$D$7+ [3]Abril!$D$9</f>
        <v>463000</v>
      </c>
      <c r="J22" s="43"/>
      <c r="K22" s="41">
        <f>[3]Abril!$C$58</f>
        <v>207786.97</v>
      </c>
      <c r="L22" s="44">
        <f t="shared" si="2"/>
        <v>3839814.56</v>
      </c>
    </row>
    <row r="23" spans="1:12" x14ac:dyDescent="0.25">
      <c r="A23" s="52" t="s">
        <v>49</v>
      </c>
      <c r="B23" s="69">
        <v>1800000</v>
      </c>
      <c r="C23" s="69"/>
      <c r="D23" s="69">
        <v>1800000</v>
      </c>
      <c r="E23" s="48">
        <f>[3]Mayo!$D$8+[3]Mayo!$D$10</f>
        <v>23200</v>
      </c>
      <c r="F23" s="48">
        <f>[3]Mayo!$D$5</f>
        <v>39500</v>
      </c>
      <c r="G23" s="48">
        <f>[3]Mayo!$D$6</f>
        <v>14800</v>
      </c>
      <c r="H23" s="70">
        <v>95327.59</v>
      </c>
      <c r="I23" s="48">
        <f>[3]Mayo!$D$7 + [3]Mayo!$D$9</f>
        <v>475000</v>
      </c>
      <c r="J23" s="43"/>
      <c r="K23" s="41">
        <f>[3]Mayo!$C$58</f>
        <v>1290232.6399999999</v>
      </c>
      <c r="L23" s="44">
        <f t="shared" si="2"/>
        <v>5538060.2299999995</v>
      </c>
    </row>
    <row r="24" spans="1:12" x14ac:dyDescent="0.25">
      <c r="A24" s="52" t="s">
        <v>50</v>
      </c>
      <c r="B24" s="69">
        <v>1800000</v>
      </c>
      <c r="C24" s="69"/>
      <c r="D24" s="69">
        <v>1800000</v>
      </c>
      <c r="E24" s="48">
        <f>[3]Junio!$D$8+[3]Junio!$D$10</f>
        <v>23200</v>
      </c>
      <c r="F24" s="48">
        <f>[3]Junio!$D$5</f>
        <v>43500</v>
      </c>
      <c r="G24" s="48">
        <f>[3]Junio!$D$6</f>
        <v>14800</v>
      </c>
      <c r="H24" s="70">
        <v>95327.59</v>
      </c>
      <c r="I24" s="48">
        <f>[3]Junio!$D$7+ [3]Junio!$D$9</f>
        <v>487000</v>
      </c>
      <c r="J24" s="43"/>
      <c r="K24" s="41">
        <f>[3]Junio!$C$58</f>
        <v>195884.94</v>
      </c>
      <c r="L24" s="44">
        <f t="shared" si="2"/>
        <v>4459712.53</v>
      </c>
    </row>
    <row r="25" spans="1:12" x14ac:dyDescent="0.25">
      <c r="A25" s="52" t="s">
        <v>51</v>
      </c>
      <c r="B25" s="69">
        <v>1800000</v>
      </c>
      <c r="C25" s="69"/>
      <c r="D25" s="71">
        <v>1800000</v>
      </c>
      <c r="E25" s="48">
        <f>[3]Julio!$D$8+[3]Julio!$D$10</f>
        <v>29500</v>
      </c>
      <c r="F25" s="48">
        <f>[3]Julio!$D$5</f>
        <v>48900</v>
      </c>
      <c r="G25" s="48">
        <f>[3]Julio!$D$6</f>
        <v>16300</v>
      </c>
      <c r="H25" s="70">
        <v>95327.59</v>
      </c>
      <c r="I25" s="48">
        <f>[3]Julio!$D$7+ [3]Julio!$D$9</f>
        <v>500000</v>
      </c>
      <c r="J25" s="43"/>
      <c r="K25" s="41">
        <f>[3]Julio!$C$58</f>
        <v>134695.82</v>
      </c>
      <c r="L25" s="44">
        <f t="shared" si="2"/>
        <v>4424723.41</v>
      </c>
    </row>
    <row r="26" spans="1:12" x14ac:dyDescent="0.25">
      <c r="A26" s="52" t="s">
        <v>52</v>
      </c>
      <c r="B26" s="69">
        <v>1800000</v>
      </c>
      <c r="C26" s="69"/>
      <c r="D26" s="71">
        <v>1800000</v>
      </c>
      <c r="E26" s="48">
        <f>[3]Agosto!$D$8+[3]Agosto!$D$10</f>
        <v>29500</v>
      </c>
      <c r="F26" s="48">
        <f>[3]Agosto!$D$5</f>
        <v>54200</v>
      </c>
      <c r="G26" s="48">
        <f>[3]Agosto!$D$6</f>
        <v>16300</v>
      </c>
      <c r="H26" s="70">
        <v>189982.51</v>
      </c>
      <c r="I26" s="48">
        <f>[3]Agosto!$D$7+ [3]Agosto!$D$9</f>
        <v>508000</v>
      </c>
      <c r="J26" s="43"/>
      <c r="K26" s="41">
        <f>[3]Agosto!$C$58</f>
        <v>151601.85</v>
      </c>
      <c r="L26" s="44">
        <f t="shared" si="2"/>
        <v>4549584.3599999994</v>
      </c>
    </row>
    <row r="27" spans="1:12" x14ac:dyDescent="0.25">
      <c r="A27" s="52" t="s">
        <v>53</v>
      </c>
      <c r="B27" s="69">
        <v>1800000</v>
      </c>
      <c r="C27" s="69"/>
      <c r="D27" s="71">
        <v>1799999.5</v>
      </c>
      <c r="E27" s="48">
        <f>[3]Septiembre!$D$8+[3]Septiembre!$D$10</f>
        <v>0</v>
      </c>
      <c r="F27" s="48">
        <f>[3]Septiembre!$D$5</f>
        <v>0</v>
      </c>
      <c r="G27" s="48">
        <f>[3]Septiembre!$D$6</f>
        <v>105000</v>
      </c>
      <c r="H27" s="70">
        <v>189982.51</v>
      </c>
      <c r="I27" s="48">
        <f>[3]Septiembre!$D$7 + [3]Septiembre!$D$9</f>
        <v>511000</v>
      </c>
      <c r="J27" s="43"/>
      <c r="K27" s="41">
        <f>[3]Septiembre!$C$58</f>
        <v>335692.63999999996</v>
      </c>
      <c r="L27" s="44">
        <f t="shared" si="2"/>
        <v>4741674.6499999994</v>
      </c>
    </row>
    <row r="28" spans="1:12" x14ac:dyDescent="0.25">
      <c r="A28" s="52" t="s">
        <v>54</v>
      </c>
      <c r="B28" s="73">
        <v>1999999.62</v>
      </c>
      <c r="C28" s="69"/>
      <c r="D28" s="71">
        <v>2000000</v>
      </c>
      <c r="E28" s="48">
        <f>[3]Octubre!$D$8+[3]Octubre!$D$10</f>
        <v>36000</v>
      </c>
      <c r="F28" s="48">
        <f>[3]Octubre!$D$5</f>
        <v>54200</v>
      </c>
      <c r="G28" s="48">
        <f>[3]Octubre!$D$6</f>
        <v>16300</v>
      </c>
      <c r="H28" s="70">
        <v>189982.51</v>
      </c>
      <c r="I28" s="48">
        <f>[3]Octubre!$D$7 + [3]Octubre!$D$9</f>
        <v>524000</v>
      </c>
      <c r="J28" s="43"/>
      <c r="K28" s="41">
        <f>[3]Octubre!$C$58</f>
        <v>936672.5</v>
      </c>
      <c r="L28" s="44">
        <f t="shared" si="2"/>
        <v>5757154.6299999999</v>
      </c>
    </row>
    <row r="29" spans="1:12" x14ac:dyDescent="0.25">
      <c r="A29" s="52" t="s">
        <v>55</v>
      </c>
      <c r="B29" s="73">
        <v>2000000</v>
      </c>
      <c r="C29" s="69"/>
      <c r="D29" s="71">
        <v>2000000</v>
      </c>
      <c r="E29" s="48">
        <f>[3]Noviembre!$D$8+[3]Noviembre!$D$10</f>
        <v>36000</v>
      </c>
      <c r="F29" s="48">
        <f>[3]Noviembre!$D$5</f>
        <v>54200</v>
      </c>
      <c r="G29" s="48">
        <f>[3]Noviembre!$D$6</f>
        <v>18800</v>
      </c>
      <c r="H29" s="75">
        <v>379965.02</v>
      </c>
      <c r="I29" s="48">
        <f>[3]Noviembre!$D$7 + [3]Noviembre!$D$9</f>
        <v>535000</v>
      </c>
      <c r="J29" s="43"/>
      <c r="K29" s="41">
        <f>[3]Noviembre!$C$58</f>
        <v>134135.38999999998</v>
      </c>
      <c r="L29" s="44">
        <f t="shared" si="2"/>
        <v>5158100.4099999992</v>
      </c>
    </row>
    <row r="30" spans="1:12" ht="15.75" thickBot="1" x14ac:dyDescent="0.3">
      <c r="A30" s="53" t="s">
        <v>56</v>
      </c>
      <c r="B30" s="74">
        <v>2000000</v>
      </c>
      <c r="C30" s="49"/>
      <c r="D30" s="72">
        <v>303890</v>
      </c>
      <c r="E30" s="48">
        <f>[3]Diciembre!$D$8+[3]Diciembre!$D$10</f>
        <v>36000</v>
      </c>
      <c r="F30" s="49">
        <f>[3]Diciembre!$D$5</f>
        <v>54200</v>
      </c>
      <c r="G30" s="48">
        <f>[3]Diciembre!$D$6</f>
        <v>18800</v>
      </c>
      <c r="H30" s="70">
        <v>189982.51</v>
      </c>
      <c r="I30" s="48">
        <f>[3]Diciembre!$D$7  + [3]Diciembre!$D$9</f>
        <v>1098000</v>
      </c>
      <c r="J30" s="45"/>
      <c r="K30" s="42">
        <f>[3]Diciembre!$C$58</f>
        <v>110650.39</v>
      </c>
      <c r="L30" s="46">
        <f t="shared" si="2"/>
        <v>3811522.9</v>
      </c>
    </row>
    <row r="31" spans="1:12" ht="15.75" thickBot="1" x14ac:dyDescent="0.3">
      <c r="A31" s="54" t="s">
        <v>57</v>
      </c>
      <c r="B31" s="55">
        <f t="shared" ref="B31:L31" si="3">SUM(B19:B30)</f>
        <v>20999999.620000001</v>
      </c>
      <c r="C31" s="55">
        <f t="shared" si="3"/>
        <v>0</v>
      </c>
      <c r="D31" s="55">
        <f t="shared" si="3"/>
        <v>19303889.5</v>
      </c>
      <c r="E31" s="55">
        <f t="shared" si="3"/>
        <v>298000</v>
      </c>
      <c r="F31" s="55">
        <f t="shared" si="3"/>
        <v>499700</v>
      </c>
      <c r="G31" s="55">
        <f t="shared" si="3"/>
        <v>276400</v>
      </c>
      <c r="H31" s="55">
        <f t="shared" si="3"/>
        <v>1768625.18</v>
      </c>
      <c r="I31" s="55">
        <f t="shared" si="3"/>
        <v>6008600</v>
      </c>
      <c r="J31" s="56">
        <f t="shared" si="3"/>
        <v>0</v>
      </c>
      <c r="K31" s="57">
        <f t="shared" si="3"/>
        <v>3987151.04</v>
      </c>
      <c r="L31" s="57">
        <f t="shared" si="3"/>
        <v>53142365.339999996</v>
      </c>
    </row>
    <row r="34" spans="1:12" ht="15.75" thickBot="1" x14ac:dyDescent="0.3"/>
    <row r="35" spans="1:12" ht="91.5" thickBot="1" x14ac:dyDescent="0.3">
      <c r="A35" s="26">
        <v>2026</v>
      </c>
      <c r="B35" s="23" t="s">
        <v>39</v>
      </c>
      <c r="C35" s="23" t="s">
        <v>40</v>
      </c>
      <c r="D35" s="23" t="s">
        <v>41</v>
      </c>
      <c r="E35" s="23" t="s">
        <v>120</v>
      </c>
      <c r="F35" s="25" t="s">
        <v>42</v>
      </c>
      <c r="G35" s="24" t="s">
        <v>995</v>
      </c>
      <c r="H35" s="23" t="s">
        <v>58</v>
      </c>
      <c r="I35" s="76" t="s">
        <v>121</v>
      </c>
      <c r="J35" s="50"/>
      <c r="K35" s="50" t="s">
        <v>43</v>
      </c>
      <c r="L35" s="51" t="s">
        <v>44</v>
      </c>
    </row>
    <row r="36" spans="1:12" x14ac:dyDescent="0.25">
      <c r="A36" s="52" t="s">
        <v>45</v>
      </c>
      <c r="B36" s="68">
        <v>2000000</v>
      </c>
      <c r="C36" s="68"/>
      <c r="D36" s="68"/>
      <c r="E36" s="69">
        <f>[4]Enero!$D$8+[4]Enero!$D$10</f>
        <v>36000</v>
      </c>
      <c r="F36" s="69">
        <f>[4]Enero!$D$5</f>
        <v>54200</v>
      </c>
      <c r="G36" s="69">
        <f>[4]Enero!$D$6</f>
        <v>18800</v>
      </c>
      <c r="H36" s="70">
        <v>189982.51</v>
      </c>
      <c r="I36" s="69">
        <f>[4]Enero!$D$7+ [4]Enero!$D$9</f>
        <v>5000</v>
      </c>
      <c r="J36" s="77"/>
      <c r="K36" s="78">
        <f>[4]Enero!$C$58</f>
        <v>211964.57</v>
      </c>
      <c r="L36" s="79">
        <f t="shared" ref="L36:L47" si="4">SUM(B36:K36)</f>
        <v>2515947.0799999996</v>
      </c>
    </row>
    <row r="37" spans="1:12" x14ac:dyDescent="0.25">
      <c r="A37" s="52" t="s">
        <v>46</v>
      </c>
      <c r="B37" s="69">
        <v>2000000</v>
      </c>
      <c r="C37" s="69"/>
      <c r="D37" s="69"/>
      <c r="E37" s="69">
        <f>[4]Febrero!$D$8+[4]Febrero!$D$10</f>
        <v>36000</v>
      </c>
      <c r="F37" s="69">
        <f>[4]Febrero!$D$5</f>
        <v>54200</v>
      </c>
      <c r="G37" s="69">
        <f>[4]Febrero!$D$6</f>
        <v>18800</v>
      </c>
      <c r="H37" s="69">
        <v>217143.1</v>
      </c>
      <c r="I37" s="69">
        <f>[4]Febrero!$D$7+ [4]Febrero!$D$9</f>
        <v>573000</v>
      </c>
      <c r="J37" s="77"/>
      <c r="K37" s="78">
        <f>[4]Febrero!$C$58</f>
        <v>213976.91999999998</v>
      </c>
      <c r="L37" s="79">
        <f t="shared" si="4"/>
        <v>3113120.02</v>
      </c>
    </row>
    <row r="38" spans="1:12" x14ac:dyDescent="0.25">
      <c r="A38" s="52" t="s">
        <v>47</v>
      </c>
      <c r="B38" s="69">
        <v>2000000</v>
      </c>
      <c r="C38" s="69"/>
      <c r="D38" s="69"/>
      <c r="E38" s="69">
        <f>[4]Marzo!$D$8+[4]Marzo!$D$10</f>
        <v>36600</v>
      </c>
      <c r="F38" s="69">
        <f>[4]Marzo!$D$5</f>
        <v>54200</v>
      </c>
      <c r="G38" s="69">
        <f>[4]Marzo!$D$6</f>
        <v>19700</v>
      </c>
      <c r="H38" s="69">
        <v>217143.1</v>
      </c>
      <c r="I38" s="69">
        <f>[4]Marzo!$D$7+ [4]Marzo!$D$9</f>
        <v>583000</v>
      </c>
      <c r="J38" s="77"/>
      <c r="K38" s="78">
        <f>[4]Marzo!$C$58</f>
        <v>308946.08999999997</v>
      </c>
      <c r="L38" s="79">
        <f t="shared" si="4"/>
        <v>3219589.19</v>
      </c>
    </row>
    <row r="39" spans="1:12" x14ac:dyDescent="0.25">
      <c r="A39" s="52" t="s">
        <v>48</v>
      </c>
      <c r="B39" s="69">
        <v>2000000</v>
      </c>
      <c r="C39" s="69"/>
      <c r="D39" s="69"/>
      <c r="E39" s="69">
        <f>[4]Abril!$D$8+[4]Abril!$D$10</f>
        <v>36600</v>
      </c>
      <c r="F39" s="69">
        <f>[4]Abril!$D$5</f>
        <v>54200</v>
      </c>
      <c r="G39" s="69">
        <f>[4]Abril!$D$6</f>
        <v>19700</v>
      </c>
      <c r="H39" s="69">
        <v>217143.1</v>
      </c>
      <c r="I39" s="69">
        <f>[4]Abril!$D$7+ [4]Abril!$D$9</f>
        <v>595000</v>
      </c>
      <c r="J39" s="77"/>
      <c r="K39" s="78">
        <f>[4]Abril!$C$58</f>
        <v>352889.32</v>
      </c>
      <c r="L39" s="79">
        <f t="shared" si="4"/>
        <v>3275532.42</v>
      </c>
    </row>
    <row r="40" spans="1:12" x14ac:dyDescent="0.25">
      <c r="A40" s="52" t="s">
        <v>49</v>
      </c>
      <c r="B40" s="69"/>
      <c r="C40" s="69"/>
      <c r="D40" s="69"/>
      <c r="E40" s="69">
        <f>[4]Mayo!$D$8+[4]Mayo!$D$10</f>
        <v>0</v>
      </c>
      <c r="F40" s="69">
        <f>[4]Mayo!$D$5</f>
        <v>0</v>
      </c>
      <c r="G40" s="69">
        <f>[4]Mayo!$D$6</f>
        <v>0</v>
      </c>
      <c r="H40" s="69"/>
      <c r="I40" s="69">
        <f>[4]Mayo!$D$7 + [4]Mayo!$D$9</f>
        <v>0</v>
      </c>
      <c r="J40" s="77"/>
      <c r="K40" s="78">
        <f>[4]Mayo!$C$58</f>
        <v>0</v>
      </c>
      <c r="L40" s="79">
        <f t="shared" si="4"/>
        <v>0</v>
      </c>
    </row>
    <row r="41" spans="1:12" x14ac:dyDescent="0.25">
      <c r="A41" s="52" t="s">
        <v>50</v>
      </c>
      <c r="B41" s="69"/>
      <c r="C41" s="69"/>
      <c r="D41" s="69"/>
      <c r="E41" s="69">
        <f>[4]Junio!$D$8+[4]Junio!$D$10</f>
        <v>0</v>
      </c>
      <c r="F41" s="69">
        <f>[4]Junio!$D$5</f>
        <v>0</v>
      </c>
      <c r="G41" s="69">
        <f>[4]Junio!$D$6</f>
        <v>0</v>
      </c>
      <c r="H41" s="69"/>
      <c r="I41" s="69">
        <f>[4]Junio!$D$7+ [4]Junio!$D$9</f>
        <v>0</v>
      </c>
      <c r="J41" s="77"/>
      <c r="K41" s="78">
        <f>[4]Junio!$C$58</f>
        <v>0</v>
      </c>
      <c r="L41" s="79">
        <f t="shared" si="4"/>
        <v>0</v>
      </c>
    </row>
    <row r="42" spans="1:12" x14ac:dyDescent="0.25">
      <c r="A42" s="52" t="s">
        <v>51</v>
      </c>
      <c r="B42" s="69"/>
      <c r="C42" s="69"/>
      <c r="D42" s="69"/>
      <c r="E42" s="69">
        <f>[4]Julio!$D$8+[4]Julio!$D$10</f>
        <v>0</v>
      </c>
      <c r="F42" s="69">
        <f>[4]Julio!$D$5</f>
        <v>0</v>
      </c>
      <c r="G42" s="69">
        <f>[4]Julio!$D$6</f>
        <v>0</v>
      </c>
      <c r="H42" s="69"/>
      <c r="I42" s="69">
        <f>[4]Julio!$D$7+ [4]Julio!$D$9</f>
        <v>0</v>
      </c>
      <c r="J42" s="77"/>
      <c r="K42" s="78">
        <f>[4]Julio!$C$58</f>
        <v>0</v>
      </c>
      <c r="L42" s="79">
        <f t="shared" si="4"/>
        <v>0</v>
      </c>
    </row>
    <row r="43" spans="1:12" x14ac:dyDescent="0.25">
      <c r="A43" s="52" t="s">
        <v>52</v>
      </c>
      <c r="B43" s="69"/>
      <c r="C43" s="69"/>
      <c r="D43" s="69"/>
      <c r="E43" s="69">
        <f>[4]Agosto!$D$8+[4]Agosto!$D$10</f>
        <v>0</v>
      </c>
      <c r="F43" s="69">
        <f>[4]Agosto!$D$5</f>
        <v>0</v>
      </c>
      <c r="G43" s="69">
        <f>[4]Agosto!$D$6</f>
        <v>0</v>
      </c>
      <c r="H43" s="69"/>
      <c r="I43" s="69">
        <f>[4]Agosto!$D$7+ [4]Agosto!$D$9</f>
        <v>0</v>
      </c>
      <c r="J43" s="77"/>
      <c r="K43" s="78">
        <f>[4]Agosto!$C$58</f>
        <v>0</v>
      </c>
      <c r="L43" s="79">
        <f t="shared" si="4"/>
        <v>0</v>
      </c>
    </row>
    <row r="44" spans="1:12" x14ac:dyDescent="0.25">
      <c r="A44" s="52" t="s">
        <v>53</v>
      </c>
      <c r="B44" s="69"/>
      <c r="C44" s="69"/>
      <c r="D44" s="69"/>
      <c r="E44" s="69">
        <f>[3]Septiembre!$D$8+[3]Septiembre!$D$10</f>
        <v>0</v>
      </c>
      <c r="F44" s="69">
        <f>[4]Septiembre!$D$5</f>
        <v>0</v>
      </c>
      <c r="G44" s="69">
        <f>[4]Septiembre!$D$6</f>
        <v>0</v>
      </c>
      <c r="H44" s="69"/>
      <c r="I44" s="69">
        <f>[4]Septiembre!$D$7 + [4]Septiembre!$D$9</f>
        <v>0</v>
      </c>
      <c r="J44" s="77"/>
      <c r="K44" s="78">
        <f>[4]Septiembre!$C$58</f>
        <v>0</v>
      </c>
      <c r="L44" s="79">
        <f t="shared" si="4"/>
        <v>0</v>
      </c>
    </row>
    <row r="45" spans="1:12" x14ac:dyDescent="0.25">
      <c r="A45" s="52" t="s">
        <v>54</v>
      </c>
      <c r="B45" s="69"/>
      <c r="C45" s="69"/>
      <c r="D45" s="69"/>
      <c r="E45" s="69">
        <f>[4]Octubre!$D$8+[4]Octubre!$D$10</f>
        <v>0</v>
      </c>
      <c r="F45" s="69">
        <f>[4]Octubre!$D$5</f>
        <v>0</v>
      </c>
      <c r="G45" s="69">
        <f>[4]Octubre!$D$6</f>
        <v>0</v>
      </c>
      <c r="H45" s="69"/>
      <c r="I45" s="69">
        <f>[4]Octubre!$D$7 + [4]Octubre!$D$9</f>
        <v>0</v>
      </c>
      <c r="J45" s="77"/>
      <c r="K45" s="78">
        <f>[4]Octubre!$C$58</f>
        <v>0</v>
      </c>
      <c r="L45" s="79">
        <f t="shared" si="4"/>
        <v>0</v>
      </c>
    </row>
    <row r="46" spans="1:12" x14ac:dyDescent="0.25">
      <c r="A46" s="52" t="s">
        <v>55</v>
      </c>
      <c r="B46" s="69"/>
      <c r="C46" s="69"/>
      <c r="D46" s="69"/>
      <c r="E46" s="69">
        <f>[4]Noviembre!$D$8+[4]Noviembre!$D$10</f>
        <v>0</v>
      </c>
      <c r="F46" s="69">
        <f>[4]Noviembre!$D$5</f>
        <v>0</v>
      </c>
      <c r="G46" s="69">
        <f>[4]Noviembre!$D$6</f>
        <v>0</v>
      </c>
      <c r="H46" s="69"/>
      <c r="I46" s="69">
        <f>[4]Noviembre!$D$7 + [4]Noviembre!$D$9</f>
        <v>0</v>
      </c>
      <c r="J46" s="77"/>
      <c r="K46" s="78">
        <f>[4]Noviembre!$C$58</f>
        <v>0</v>
      </c>
      <c r="L46" s="79">
        <f t="shared" si="4"/>
        <v>0</v>
      </c>
    </row>
    <row r="47" spans="1:12" ht="15.75" thickBot="1" x14ac:dyDescent="0.3">
      <c r="A47" s="53" t="s">
        <v>56</v>
      </c>
      <c r="B47" s="80"/>
      <c r="C47" s="80"/>
      <c r="D47" s="80"/>
      <c r="E47" s="69">
        <f>[4]Diciembre!$D$8+[4]Diciembre!$D$10</f>
        <v>0</v>
      </c>
      <c r="F47" s="80">
        <f>[4]Diciembre!$D$5</f>
        <v>0</v>
      </c>
      <c r="G47" s="69">
        <f>[4]Diciembre!$D$6</f>
        <v>0</v>
      </c>
      <c r="H47" s="69"/>
      <c r="I47" s="69">
        <f>[4]Diciembre!$D$7  + [4]Diciembre!$D$9</f>
        <v>0</v>
      </c>
      <c r="J47" s="81"/>
      <c r="K47" s="82">
        <f>[4]Diciembre!$C$58</f>
        <v>0</v>
      </c>
      <c r="L47" s="83">
        <f t="shared" si="4"/>
        <v>0</v>
      </c>
    </row>
    <row r="48" spans="1:12" ht="15.75" thickBot="1" x14ac:dyDescent="0.3">
      <c r="A48" s="54" t="s">
        <v>57</v>
      </c>
      <c r="B48" s="55">
        <f t="shared" ref="B48:L48" si="5">SUM(B36:B47)</f>
        <v>8000000</v>
      </c>
      <c r="C48" s="55">
        <f t="shared" si="5"/>
        <v>0</v>
      </c>
      <c r="D48" s="55">
        <f t="shared" si="5"/>
        <v>0</v>
      </c>
      <c r="E48" s="55">
        <f t="shared" si="5"/>
        <v>145200</v>
      </c>
      <c r="F48" s="55">
        <f t="shared" si="5"/>
        <v>216800</v>
      </c>
      <c r="G48" s="55">
        <f t="shared" si="5"/>
        <v>77000</v>
      </c>
      <c r="H48" s="55">
        <f t="shared" si="5"/>
        <v>841411.80999999994</v>
      </c>
      <c r="I48" s="55">
        <f t="shared" si="5"/>
        <v>1756000</v>
      </c>
      <c r="J48" s="56">
        <f t="shared" si="5"/>
        <v>0</v>
      </c>
      <c r="K48" s="57">
        <f t="shared" si="5"/>
        <v>1087776.8999999999</v>
      </c>
      <c r="L48" s="57">
        <f t="shared" si="5"/>
        <v>12124188.709999999</v>
      </c>
    </row>
  </sheetData>
  <conditionalFormatting sqref="B2:K13">
    <cfRule type="cellIs" dxfId="37" priority="22" stopIfTrue="1" operator="lessThanOrEqual">
      <formula>0</formula>
    </cfRule>
  </conditionalFormatting>
  <conditionalFormatting sqref="B19:K30">
    <cfRule type="cellIs" dxfId="36" priority="19" stopIfTrue="1" operator="lessThanOrEqual">
      <formula>0</formula>
    </cfRule>
  </conditionalFormatting>
  <conditionalFormatting sqref="B36:K47">
    <cfRule type="cellIs" dxfId="35" priority="1" stopIfTrue="1" operator="lessThanOrEqual">
      <formula>0</formula>
    </cfRule>
  </conditionalFormatting>
  <conditionalFormatting sqref="J4:J6">
    <cfRule type="cellIs" dxfId="34" priority="24" stopIfTrue="1" operator="lessThanOrEqual">
      <formula>0</formula>
    </cfRule>
  </conditionalFormatting>
  <conditionalFormatting sqref="J8:J10">
    <cfRule type="cellIs" dxfId="33" priority="23" stopIfTrue="1" operator="lessThanOrEqual">
      <formula>0</formula>
    </cfRule>
  </conditionalFormatting>
  <conditionalFormatting sqref="J21:J23">
    <cfRule type="cellIs" dxfId="32" priority="21" stopIfTrue="1" operator="lessThanOrEqual">
      <formula>0</formula>
    </cfRule>
  </conditionalFormatting>
  <conditionalFormatting sqref="J25:J27">
    <cfRule type="cellIs" dxfId="31" priority="20" stopIfTrue="1" operator="lessThanOrEqual">
      <formula>0</formula>
    </cfRule>
  </conditionalFormatting>
  <conditionalFormatting sqref="J38:J40">
    <cfRule type="cellIs" dxfId="30" priority="14" stopIfTrue="1" operator="lessThanOrEqual">
      <formula>0</formula>
    </cfRule>
  </conditionalFormatting>
  <conditionalFormatting sqref="J42:J44">
    <cfRule type="cellIs" dxfId="29" priority="13" stopIfTrue="1" operator="less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7"/>
  <sheetViews>
    <sheetView tabSelected="1" topLeftCell="A16" zoomScale="85" zoomScaleNormal="85" workbookViewId="0">
      <selection activeCell="P45" sqref="P45"/>
    </sheetView>
  </sheetViews>
  <sheetFormatPr baseColWidth="10" defaultColWidth="11.42578125" defaultRowHeight="15.75" x14ac:dyDescent="0.25"/>
  <cols>
    <col min="1" max="1" width="11.42578125" style="13"/>
    <col min="2" max="2" width="12.85546875" style="14" bestFit="1" customWidth="1"/>
    <col min="3" max="3" width="13.42578125" bestFit="1" customWidth="1"/>
    <col min="4" max="4" width="10" style="2" bestFit="1" customWidth="1"/>
    <col min="5" max="6" width="5.85546875" style="2" bestFit="1" customWidth="1"/>
    <col min="7" max="7" width="11.7109375" bestFit="1" customWidth="1"/>
    <col min="9" max="9" width="8.5703125" style="2" bestFit="1" customWidth="1"/>
    <col min="10" max="10" width="12.85546875" bestFit="1" customWidth="1"/>
    <col min="11" max="11" width="12.85546875" style="4" customWidth="1"/>
    <col min="12" max="12" width="12.85546875" bestFit="1" customWidth="1"/>
    <col min="13" max="13" width="10.42578125" style="9" bestFit="1" customWidth="1"/>
    <col min="15" max="15" width="35.7109375" bestFit="1" customWidth="1"/>
    <col min="16" max="16" width="15.42578125" bestFit="1" customWidth="1"/>
    <col min="17" max="17" width="59.140625" bestFit="1" customWidth="1"/>
  </cols>
  <sheetData>
    <row r="1" spans="1:17" ht="39" thickBot="1" x14ac:dyDescent="0.3">
      <c r="A1" s="7">
        <v>2024</v>
      </c>
      <c r="B1" s="31" t="s">
        <v>59</v>
      </c>
      <c r="C1" s="31" t="s">
        <v>60</v>
      </c>
      <c r="D1" s="31" t="s">
        <v>61</v>
      </c>
      <c r="E1" s="31" t="s">
        <v>997</v>
      </c>
      <c r="F1" s="31" t="s">
        <v>998</v>
      </c>
      <c r="G1" s="31" t="s">
        <v>62</v>
      </c>
      <c r="H1" s="31" t="s">
        <v>63</v>
      </c>
      <c r="I1" s="31" t="s">
        <v>64</v>
      </c>
      <c r="J1" s="32" t="s">
        <v>65</v>
      </c>
      <c r="K1" s="31" t="s">
        <v>68</v>
      </c>
      <c r="L1" s="31" t="s">
        <v>69</v>
      </c>
      <c r="M1" s="31" t="s">
        <v>70</v>
      </c>
      <c r="O1" s="15" t="s">
        <v>144</v>
      </c>
      <c r="P1" s="16">
        <v>-104012</v>
      </c>
    </row>
    <row r="2" spans="1:17" ht="15" x14ac:dyDescent="0.25">
      <c r="A2" s="8" t="s">
        <v>45</v>
      </c>
      <c r="B2" s="27">
        <f>SUMIFS(Ordenes!R$2:R$1493,Ordenes!AF$2:AF$1493,MONTH(A2 &amp;1),Ordenes!AE$2:AE$1493,A$1)</f>
        <v>874050</v>
      </c>
      <c r="C2" s="28">
        <f>+B2-'Costos Fijos'!L2</f>
        <v>-590532.73</v>
      </c>
      <c r="D2" s="62">
        <f t="shared" ref="D2:D14" si="0">IFERROR(1-(C2/B2),"")</f>
        <v>1.675628087638007</v>
      </c>
      <c r="E2" s="66">
        <f>COUNTIFS(Ordenes!U:U,MONTH(A2 &amp;1),Ordenes!AC:AC,A$1)</f>
        <v>16</v>
      </c>
      <c r="F2" s="66">
        <f>COUNTIFS(Ordenes!V:V,MONTH(A2 &amp;1),Ordenes!AD:AD,A$1)</f>
        <v>18</v>
      </c>
      <c r="G2" s="29">
        <f t="shared" ref="G2:G14" si="1">B2-C2</f>
        <v>1464582.73</v>
      </c>
      <c r="H2" s="29">
        <f t="shared" ref="H2:H14" si="2">+C2</f>
        <v>-590532.73</v>
      </c>
      <c r="I2" s="62">
        <f t="shared" ref="I2:I14" si="3">IFERROR(+H2/B2,"")</f>
        <v>-0.67562808763800697</v>
      </c>
      <c r="J2" s="33">
        <f>-SUMIFS(Ordenes!W$2:W$1493,Ordenes!AF$2:AF$1493,MONTH(A2 &amp;1),Ordenes!AE$2:AE$1493,A$1)</f>
        <v>0</v>
      </c>
      <c r="K2" s="27"/>
      <c r="L2" s="27">
        <f>891130+83253.6</f>
        <v>974383.6</v>
      </c>
      <c r="M2" s="27"/>
    </row>
    <row r="3" spans="1:17" ht="15" x14ac:dyDescent="0.25">
      <c r="A3" s="10" t="s">
        <v>46</v>
      </c>
      <c r="B3" s="27">
        <f>SUMIFS(Ordenes!R$2:R$1493,Ordenes!AF$2:AF$1493,MONTH(A3 &amp;1),Ordenes!AE$2:AE$1493,A$1)</f>
        <v>3505517</v>
      </c>
      <c r="C3" s="28">
        <f>+B3-'Costos Fijos'!L3</f>
        <v>1522149.3199999998</v>
      </c>
      <c r="D3" s="63">
        <f t="shared" si="0"/>
        <v>0.5657846417518444</v>
      </c>
      <c r="E3" s="66">
        <f>COUNTIFS(Ordenes!U:U,MONTH(A3 &amp;1),Ordenes!AC:AC,A$1)</f>
        <v>15</v>
      </c>
      <c r="F3" s="66">
        <f>COUNTIFS(Ordenes!V:V,MONTH(A3 &amp;1),Ordenes!AD:AD,A$1)</f>
        <v>15</v>
      </c>
      <c r="G3" s="30">
        <f t="shared" si="1"/>
        <v>1983367.6800000002</v>
      </c>
      <c r="H3" s="30">
        <f t="shared" si="2"/>
        <v>1522149.3199999998</v>
      </c>
      <c r="I3" s="63">
        <f t="shared" si="3"/>
        <v>0.43421535824815566</v>
      </c>
      <c r="J3" s="33">
        <f>-SUMIFS(Ordenes!W$2:W$1493,Ordenes!AF$2:AF$1493,MONTH(A3 &amp;1),Ordenes!AE$2:AE$1493,A$1)</f>
        <v>0</v>
      </c>
      <c r="K3" s="27">
        <f>800000+1000000+310500</f>
        <v>2110500</v>
      </c>
      <c r="L3" s="27">
        <f>680594.32+61533.19+459512+41544.96</f>
        <v>1243184.47</v>
      </c>
      <c r="M3" s="27">
        <v>300</v>
      </c>
    </row>
    <row r="4" spans="1:17" ht="15" x14ac:dyDescent="0.25">
      <c r="A4" s="10" t="s">
        <v>47</v>
      </c>
      <c r="B4" s="27">
        <f>SUMIFS(Ordenes!R$2:R$1493,Ordenes!AF$2:AF$1493,MONTH(A4 &amp;1),Ordenes!AE$2:AE$1493,A$1)</f>
        <v>1307235</v>
      </c>
      <c r="C4" s="28">
        <f>+B4-'Costos Fijos'!L4</f>
        <v>-621918.80000000005</v>
      </c>
      <c r="D4" s="63">
        <f t="shared" si="0"/>
        <v>1.47575133774723</v>
      </c>
      <c r="E4" s="66">
        <f>COUNTIFS(Ordenes!U:U,MONTH(A4 &amp;1),Ordenes!AC:AC,A$1)</f>
        <v>15</v>
      </c>
      <c r="F4" s="66">
        <f>COUNTIFS(Ordenes!V:V,MONTH(A4 &amp;1),Ordenes!AD:AD,A$1)</f>
        <v>15</v>
      </c>
      <c r="G4" s="30">
        <f t="shared" si="1"/>
        <v>1929153.8</v>
      </c>
      <c r="H4" s="30">
        <f t="shared" si="2"/>
        <v>-621918.80000000005</v>
      </c>
      <c r="I4" s="63">
        <f t="shared" si="3"/>
        <v>-0.47575133774722989</v>
      </c>
      <c r="J4" s="33">
        <f>-SUMIFS(Ordenes!W$2:W$1493,Ordenes!AF$2:AF$1493,MONTH(A4 &amp;1),Ordenes!AE$2:AE$1493,A$1)</f>
        <v>0</v>
      </c>
      <c r="K4" s="27"/>
      <c r="L4" s="27">
        <f>847344.52+153218.46+988365.6+178718.16</f>
        <v>2167646.7400000002</v>
      </c>
      <c r="M4" s="27"/>
    </row>
    <row r="5" spans="1:17" ht="15" x14ac:dyDescent="0.25">
      <c r="A5" s="10" t="s">
        <v>48</v>
      </c>
      <c r="B5" s="27">
        <f>SUMIFS(Ordenes!R$2:R$1493,Ordenes!AF$2:AF$1493,MONTH(A5 &amp;1),Ordenes!AE$2:AE$1493,A$1)</f>
        <v>1606700</v>
      </c>
      <c r="C5" s="28">
        <f>+B5-'Costos Fijos'!L5</f>
        <v>-336422.34000000008</v>
      </c>
      <c r="D5" s="63">
        <f t="shared" si="0"/>
        <v>1.2093871537934899</v>
      </c>
      <c r="E5" s="66">
        <f>COUNTIFS(Ordenes!U:U,MONTH(A5 &amp;1),Ordenes!AC:AC,A$1)</f>
        <v>12</v>
      </c>
      <c r="F5" s="66">
        <f>COUNTIFS(Ordenes!V:V,MONTH(A5 &amp;1),Ordenes!AD:AD,A$1)</f>
        <v>12</v>
      </c>
      <c r="G5" s="30">
        <f t="shared" si="1"/>
        <v>1943122.34</v>
      </c>
      <c r="H5" s="30">
        <f t="shared" si="2"/>
        <v>-336422.34000000008</v>
      </c>
      <c r="I5" s="63">
        <f t="shared" si="3"/>
        <v>-0.20938715379348982</v>
      </c>
      <c r="J5" s="33">
        <f>-SUMIFS(Ordenes!W$2:W$1493,Ordenes!AF$2:AF$1493,MONTH(A5 &amp;1),Ordenes!AE$2:AE$1493,A$1)</f>
        <v>0</v>
      </c>
      <c r="K5" s="27">
        <f>1500000+1000000+1008557.89</f>
        <v>3508557.89</v>
      </c>
      <c r="L5" s="27">
        <f>405193.19 +112343.97+190.61+1500000+86301</f>
        <v>2104028.77</v>
      </c>
      <c r="M5" s="27"/>
    </row>
    <row r="6" spans="1:17" ht="15" x14ac:dyDescent="0.25">
      <c r="A6" s="10" t="s">
        <v>49</v>
      </c>
      <c r="B6" s="27">
        <f>SUMIFS(Ordenes!R$2:R$1493,Ordenes!AF$2:AF$1493,MONTH(A6 &amp;1),Ordenes!AE$2:AE$1493,A$1)</f>
        <v>3641029</v>
      </c>
      <c r="C6" s="28">
        <f>+B6-'Costos Fijos'!L6</f>
        <v>1386775.92</v>
      </c>
      <c r="D6" s="63">
        <f t="shared" si="0"/>
        <v>0.61912527475062684</v>
      </c>
      <c r="E6" s="66">
        <f>COUNTIFS(Ordenes!U:U,MONTH(A6 &amp;1),Ordenes!AC:AC,A$1)</f>
        <v>23</v>
      </c>
      <c r="F6" s="66">
        <f>COUNTIFS(Ordenes!V:V,MONTH(A6 &amp;1),Ordenes!AD:AD,A$1)</f>
        <v>24</v>
      </c>
      <c r="G6" s="30">
        <f t="shared" si="1"/>
        <v>2254253.08</v>
      </c>
      <c r="H6" s="30">
        <f t="shared" si="2"/>
        <v>1386775.92</v>
      </c>
      <c r="I6" s="63">
        <f t="shared" si="3"/>
        <v>0.38087472524937316</v>
      </c>
      <c r="J6" s="33">
        <f>-SUMIFS(Ordenes!W$2:W$1493,Ordenes!AF$2:AF$1493,MONTH(A6 &amp;1),Ordenes!AE$2:AE$1493,A$1)</f>
        <v>0</v>
      </c>
      <c r="K6" s="27">
        <v>520000</v>
      </c>
      <c r="L6" s="27"/>
      <c r="M6" s="27">
        <v>500</v>
      </c>
    </row>
    <row r="7" spans="1:17" ht="15" x14ac:dyDescent="0.25">
      <c r="A7" s="10" t="s">
        <v>50</v>
      </c>
      <c r="B7" s="27">
        <f>SUMIFS(Ordenes!R$2:R$1493,Ordenes!AF$2:AF$1493,MONTH(A7 &amp;1),Ordenes!AE$2:AE$1493,A$1)</f>
        <v>3587405</v>
      </c>
      <c r="C7" s="28">
        <f>+B7-'Costos Fijos'!L7</f>
        <v>1152094.1599999997</v>
      </c>
      <c r="D7" s="63">
        <f t="shared" si="0"/>
        <v>0.6788502664182049</v>
      </c>
      <c r="E7" s="66">
        <f>COUNTIFS(Ordenes!U:U,MONTH(A7 &amp;1),Ordenes!AC:AC,A$1)</f>
        <v>19</v>
      </c>
      <c r="F7" s="66">
        <f>COUNTIFS(Ordenes!V:V,MONTH(A7 &amp;1),Ordenes!AD:AD,A$1)</f>
        <v>21</v>
      </c>
      <c r="G7" s="30">
        <f t="shared" si="1"/>
        <v>2435310.8400000003</v>
      </c>
      <c r="H7" s="30">
        <f t="shared" si="2"/>
        <v>1152094.1599999997</v>
      </c>
      <c r="I7" s="63">
        <f t="shared" si="3"/>
        <v>0.3211497335817951</v>
      </c>
      <c r="J7" s="33">
        <f>-SUMIFS(Ordenes!W$2:W$1493,Ordenes!AF$2:AF$1493,MONTH(A7 &amp;1),Ordenes!AE$2:AE$1493,A$1)</f>
        <v>15000</v>
      </c>
      <c r="K7" s="27">
        <v>1512789.65</v>
      </c>
      <c r="L7" s="27"/>
      <c r="M7" s="60"/>
    </row>
    <row r="8" spans="1:17" ht="15" x14ac:dyDescent="0.25">
      <c r="A8" s="10" t="s">
        <v>51</v>
      </c>
      <c r="B8" s="27">
        <f>SUMIFS(Ordenes!R$2:R$1493,Ordenes!AF$2:AF$1493,MONTH(A8 &amp;1),Ordenes!AE$2:AE$1493,A$1)</f>
        <v>3048355</v>
      </c>
      <c r="C8" s="28">
        <f>+B8-'Costos Fijos'!L8</f>
        <v>581257.41999999946</v>
      </c>
      <c r="D8" s="63">
        <f t="shared" si="0"/>
        <v>0.80932095507249013</v>
      </c>
      <c r="E8" s="66">
        <f>COUNTIFS(Ordenes!U:U,MONTH(A8 &amp;1),Ordenes!AC:AC,A$1)</f>
        <v>16</v>
      </c>
      <c r="F8" s="66">
        <f>COUNTIFS(Ordenes!V:V,MONTH(A8 &amp;1),Ordenes!AD:AD,A$1)</f>
        <v>20</v>
      </c>
      <c r="G8" s="30">
        <f t="shared" si="1"/>
        <v>2467097.5800000005</v>
      </c>
      <c r="H8" s="30">
        <f t="shared" si="2"/>
        <v>581257.41999999946</v>
      </c>
      <c r="I8" s="63">
        <f t="shared" si="3"/>
        <v>0.19067904492750989</v>
      </c>
      <c r="J8" s="33">
        <f>-SUMIFS(Ordenes!W$2:W$1493,Ordenes!AF$2:AF$1493,MONTH(A8 &amp;1),Ordenes!AE$2:AE$1493,A$1)</f>
        <v>0</v>
      </c>
      <c r="K8" s="27"/>
      <c r="L8" s="27"/>
      <c r="M8" s="27"/>
    </row>
    <row r="9" spans="1:17" ht="15" x14ac:dyDescent="0.25">
      <c r="A9" s="10" t="s">
        <v>52</v>
      </c>
      <c r="B9" s="27">
        <f>SUMIFS(Ordenes!R$2:R$1493,Ordenes!AF$2:AF$1493,MONTH(A9 &amp;1),Ordenes!AE$2:AE$1493,A$1)</f>
        <v>4608450</v>
      </c>
      <c r="C9" s="28">
        <f>+B9-'Costos Fijos'!L9</f>
        <v>1110242.42</v>
      </c>
      <c r="D9" s="63">
        <f t="shared" si="0"/>
        <v>0.75908550163287003</v>
      </c>
      <c r="E9" s="66">
        <f>COUNTIFS(Ordenes!U:U,MONTH(A9 &amp;1),Ordenes!AC:AC,A$1)</f>
        <v>14</v>
      </c>
      <c r="F9" s="66">
        <f>COUNTIFS(Ordenes!V:V,MONTH(A9 &amp;1),Ordenes!AD:AD,A$1)</f>
        <v>9</v>
      </c>
      <c r="G9" s="30">
        <f t="shared" si="1"/>
        <v>3498207.58</v>
      </c>
      <c r="H9" s="30">
        <f t="shared" si="2"/>
        <v>1110242.42</v>
      </c>
      <c r="I9" s="63">
        <f t="shared" si="3"/>
        <v>0.24091449836712994</v>
      </c>
      <c r="J9" s="33">
        <f>-SUMIFS(Ordenes!W$2:W$1493,Ordenes!AF$2:AF$1493,MONTH(A9 &amp;1),Ordenes!AE$2:AE$1493,A$1)</f>
        <v>0</v>
      </c>
      <c r="K9" s="27">
        <f>1614344.15+408000</f>
        <v>2022344.15</v>
      </c>
      <c r="L9" s="27"/>
      <c r="M9" s="27">
        <v>300</v>
      </c>
    </row>
    <row r="10" spans="1:17" ht="15" x14ac:dyDescent="0.25">
      <c r="A10" s="10" t="s">
        <v>53</v>
      </c>
      <c r="B10" s="27">
        <f>SUMIFS(Ordenes!R$2:R$1493,Ordenes!AF$2:AF$1493,MONTH(A10 &amp;1),Ordenes!AE$2:AE$1493,A$1)+20000</f>
        <v>4334881</v>
      </c>
      <c r="C10" s="28">
        <f>+B10-'Costos Fijos'!L10</f>
        <v>1067657.4699999997</v>
      </c>
      <c r="D10" s="63">
        <f t="shared" si="0"/>
        <v>0.75370547196105275</v>
      </c>
      <c r="E10" s="66">
        <f>COUNTIFS(Ordenes!U:U,MONTH(A10 &amp;1),Ordenes!AC:AC,A$1)</f>
        <v>23</v>
      </c>
      <c r="F10" s="66">
        <f>COUNTIFS(Ordenes!V:V,MONTH(A10 &amp;1),Ordenes!AD:AD,A$1)</f>
        <v>25</v>
      </c>
      <c r="G10" s="30">
        <f t="shared" si="1"/>
        <v>3267223.5300000003</v>
      </c>
      <c r="H10" s="30">
        <f t="shared" si="2"/>
        <v>1067657.4699999997</v>
      </c>
      <c r="I10" s="63">
        <f t="shared" si="3"/>
        <v>0.24629452803894725</v>
      </c>
      <c r="J10" s="33">
        <f>-SUMIFS(Ordenes!W$2:W$1493,Ordenes!AF$2:AF$1493,MONTH(A10 &amp;1),Ordenes!AE$2:AE$1493,A$1)</f>
        <v>0</v>
      </c>
      <c r="K10" s="27"/>
      <c r="L10" s="27"/>
      <c r="M10" s="27"/>
    </row>
    <row r="11" spans="1:17" ht="15" x14ac:dyDescent="0.25">
      <c r="A11" s="10" t="s">
        <v>54</v>
      </c>
      <c r="B11" s="27">
        <f>SUMIFS(Ordenes!R$2:R$1493,Ordenes!AF$2:AF$1493,MONTH(A11 &amp;1),Ordenes!AE$2:AE$1493,A$1)</f>
        <v>2852200</v>
      </c>
      <c r="C11" s="28">
        <f>+B11-'Costos Fijos'!L11</f>
        <v>-377856.66000000015</v>
      </c>
      <c r="D11" s="63">
        <f t="shared" si="0"/>
        <v>1.1324790197040882</v>
      </c>
      <c r="E11" s="66">
        <f>COUNTIFS(Ordenes!U:U,MONTH(A11 &amp;1),Ordenes!AC:AC,A$1)</f>
        <v>16</v>
      </c>
      <c r="F11" s="66">
        <f>COUNTIFS(Ordenes!V:V,MONTH(A11 &amp;1),Ordenes!AD:AD,A$1)</f>
        <v>14</v>
      </c>
      <c r="G11" s="30">
        <f t="shared" si="1"/>
        <v>3230056.66</v>
      </c>
      <c r="H11" s="30">
        <f t="shared" si="2"/>
        <v>-377856.66000000015</v>
      </c>
      <c r="I11" s="63">
        <f t="shared" si="3"/>
        <v>-0.13247901970408812</v>
      </c>
      <c r="J11" s="33">
        <f>-SUMIFS(Ordenes!W$2:W$1493,Ordenes!AF$2:AF$1493,MONTH(A11 &amp;1),Ordenes!AE$2:AE$1493,A$1)</f>
        <v>0</v>
      </c>
      <c r="K11" s="27">
        <f>367500+610000+1714771.39</f>
        <v>2692271.3899999997</v>
      </c>
      <c r="L11" s="27"/>
      <c r="M11" s="27">
        <f>300+500</f>
        <v>800</v>
      </c>
      <c r="O11" s="17"/>
      <c r="P11" s="18">
        <f>P1+H14-J14</f>
        <v>3448170.0299999989</v>
      </c>
    </row>
    <row r="12" spans="1:17" ht="15" x14ac:dyDescent="0.25">
      <c r="A12" s="10" t="s">
        <v>55</v>
      </c>
      <c r="B12" s="27">
        <f>SUMIFS(Ordenes!R$2:R$1493,Ordenes!AF$2:AF$1493,MONTH(A12 &amp;1),Ordenes!AE$2:AE$1493,A$1)</f>
        <v>3754660</v>
      </c>
      <c r="C12" s="28">
        <f>+B12-'Costos Fijos'!L12</f>
        <v>550843.16000000015</v>
      </c>
      <c r="D12" s="63">
        <f t="shared" si="0"/>
        <v>0.8532908012975875</v>
      </c>
      <c r="E12" s="66">
        <f>COUNTIFS(Ordenes!U:U,MONTH(A12 &amp;1),Ordenes!AC:AC,A$1)</f>
        <v>20</v>
      </c>
      <c r="F12" s="66">
        <f>COUNTIFS(Ordenes!V:V,MONTH(A12 &amp;1),Ordenes!AD:AD,A$1)</f>
        <v>22</v>
      </c>
      <c r="G12" s="30">
        <f t="shared" si="1"/>
        <v>3203816.84</v>
      </c>
      <c r="H12" s="30">
        <f t="shared" si="2"/>
        <v>550843.16000000015</v>
      </c>
      <c r="I12" s="63">
        <f t="shared" si="3"/>
        <v>0.1467091987024125</v>
      </c>
      <c r="J12" s="33">
        <f>-SUMIFS(Ordenes!W$2:W$1493,Ordenes!AF$2:AF$1493,MONTH(A12 &amp;1),Ordenes!AE$2:AE$1493,A$1)</f>
        <v>0</v>
      </c>
      <c r="K12" s="27"/>
      <c r="L12" s="27"/>
      <c r="M12" s="27">
        <v>1450.03</v>
      </c>
      <c r="O12" s="17" t="s">
        <v>123</v>
      </c>
      <c r="P12" s="18"/>
    </row>
    <row r="13" spans="1:17" ht="16.5" thickBot="1" x14ac:dyDescent="0.3">
      <c r="A13" s="11" t="s">
        <v>56</v>
      </c>
      <c r="B13" s="27">
        <f>SUMIFS(Ordenes!R$2:R$1493,Ordenes!AF$2:AF$1493,MONTH(A13 &amp;1),Ordenes!AE$2:AE$1493,A$1)</f>
        <v>2169100</v>
      </c>
      <c r="C13" s="28">
        <f>+B13-'Costos Fijos'!L13</f>
        <v>-1877107.31</v>
      </c>
      <c r="D13" s="64">
        <f t="shared" si="0"/>
        <v>1.8653853257111246</v>
      </c>
      <c r="E13" s="66">
        <f>COUNTIFS(Ordenes!U:U,MONTH(A13 &amp;1),Ordenes!AC:AC,A$1)</f>
        <v>12</v>
      </c>
      <c r="F13" s="66">
        <f>COUNTIFS(Ordenes!V:V,MONTH(A13 &amp;1),Ordenes!AD:AD,A$1)</f>
        <v>12</v>
      </c>
      <c r="G13" s="34">
        <f t="shared" si="1"/>
        <v>4046207.31</v>
      </c>
      <c r="H13" s="34">
        <f t="shared" si="2"/>
        <v>-1877107.31</v>
      </c>
      <c r="I13" s="64">
        <f t="shared" si="3"/>
        <v>-0.86538532571112448</v>
      </c>
      <c r="J13" s="33">
        <f>-SUMIFS(Ordenes!W$2:W$1493,Ordenes!AF$2:AF$1493,MONTH(A13 &amp;1),Ordenes!AE$2:AE$1493,A$1)</f>
        <v>0</v>
      </c>
      <c r="K13" s="27">
        <v>602500</v>
      </c>
      <c r="L13" s="27"/>
      <c r="M13" s="27">
        <v>500</v>
      </c>
      <c r="O13" s="15" t="s">
        <v>66</v>
      </c>
      <c r="P13" s="16">
        <f>P11+P12+L14-K14</f>
        <v>-3031549.4700000025</v>
      </c>
      <c r="Q13" s="84" t="s">
        <v>1391</v>
      </c>
    </row>
    <row r="14" spans="1:17" ht="16.5" thickBot="1" x14ac:dyDescent="0.3">
      <c r="A14" s="12" t="s">
        <v>57</v>
      </c>
      <c r="B14" s="35">
        <f>SUM(B2:B13)</f>
        <v>35289582</v>
      </c>
      <c r="C14" s="36">
        <f>SUM(C2:C13)</f>
        <v>3567182.0299999989</v>
      </c>
      <c r="D14" s="65">
        <f t="shared" si="0"/>
        <v>0.89891685228802087</v>
      </c>
      <c r="E14" s="67">
        <f>SUM(E2:E13)</f>
        <v>201</v>
      </c>
      <c r="F14" s="67">
        <f>SUM(F2:F13)</f>
        <v>207</v>
      </c>
      <c r="G14" s="37">
        <f t="shared" si="1"/>
        <v>31722399.970000003</v>
      </c>
      <c r="H14" s="37">
        <f t="shared" si="2"/>
        <v>3567182.0299999989</v>
      </c>
      <c r="I14" s="65">
        <f t="shared" si="3"/>
        <v>0.1010831477119791</v>
      </c>
      <c r="J14" s="38">
        <f>SUM(J2:J13)</f>
        <v>15000</v>
      </c>
      <c r="K14" s="39">
        <f>SUM(K2:K13)</f>
        <v>12968963.080000002</v>
      </c>
      <c r="L14" s="39">
        <f>SUM(L2:L13)</f>
        <v>6489243.5800000001</v>
      </c>
      <c r="M14" s="39">
        <f>SUM(M2:M13)+2239</f>
        <v>6089.03</v>
      </c>
      <c r="O14" s="15" t="s">
        <v>67</v>
      </c>
      <c r="P14" s="16">
        <f>P13-'[5]2024'!$P$500</f>
        <v>0.48999999649822712</v>
      </c>
    </row>
    <row r="16" spans="1:17" ht="16.5" thickBot="1" x14ac:dyDescent="0.3"/>
    <row r="17" spans="1:16" ht="39" thickBot="1" x14ac:dyDescent="0.3">
      <c r="A17" s="7">
        <v>2025</v>
      </c>
      <c r="B17" s="31" t="s">
        <v>59</v>
      </c>
      <c r="C17" s="31" t="s">
        <v>60</v>
      </c>
      <c r="D17" s="31" t="s">
        <v>61</v>
      </c>
      <c r="E17" s="31" t="s">
        <v>997</v>
      </c>
      <c r="F17" s="31" t="s">
        <v>998</v>
      </c>
      <c r="G17" s="31" t="s">
        <v>62</v>
      </c>
      <c r="H17" s="31" t="s">
        <v>63</v>
      </c>
      <c r="I17" s="31" t="s">
        <v>64</v>
      </c>
      <c r="J17" s="32" t="s">
        <v>65</v>
      </c>
      <c r="K17" s="31" t="s">
        <v>68</v>
      </c>
      <c r="L17" s="31" t="s">
        <v>69</v>
      </c>
      <c r="M17" s="31" t="s">
        <v>70</v>
      </c>
    </row>
    <row r="18" spans="1:16" ht="15" x14ac:dyDescent="0.25">
      <c r="A18" s="8" t="s">
        <v>45</v>
      </c>
      <c r="B18" s="27">
        <f>SUMIFS(Ordenes!R$2:R$1493,Ordenes!AF$2:AF$1493,MONTH(A18 &amp;1),Ordenes!AE$2:AE$1493,A$17)</f>
        <v>3238880</v>
      </c>
      <c r="C18" s="28">
        <f>+B18-'Costos Fijos'!L19</f>
        <v>-218483.78000000026</v>
      </c>
      <c r="D18" s="62">
        <f t="shared" ref="D18:D30" si="4">IFERROR(1-(C18/B18),"")</f>
        <v>1.0674565837573482</v>
      </c>
      <c r="E18" s="66">
        <f>COUNTIFS(Ordenes!U:U,MONTH(A18 &amp;17),Ordenes!AC:AC,A$17)</f>
        <v>20</v>
      </c>
      <c r="F18" s="66">
        <f>COUNTIFS(Ordenes!V:V,MONTH(A18 &amp;17),Ordenes!AD:AD,A$17)</f>
        <v>23</v>
      </c>
      <c r="G18" s="29">
        <f t="shared" ref="G18:G30" si="5">B18-C18</f>
        <v>3457363.7800000003</v>
      </c>
      <c r="H18" s="29">
        <f t="shared" ref="H18:H30" si="6">+C18</f>
        <v>-218483.78000000026</v>
      </c>
      <c r="I18" s="62">
        <f t="shared" ref="I18:I30" si="7">IFERROR(+H18/B18,"")</f>
        <v>-6.7456583757348296E-2</v>
      </c>
      <c r="J18" s="33">
        <f>-SUMIFS(Ordenes!W$2:W$1493,Ordenes!AF$2:AF$1493,MONTH(A18 &amp;17),Ordenes!AE$2:AE$1493,A$17)</f>
        <v>0</v>
      </c>
      <c r="K18" s="27"/>
      <c r="L18" s="27">
        <v>400661.78</v>
      </c>
      <c r="M18" s="27"/>
    </row>
    <row r="19" spans="1:16" ht="15" x14ac:dyDescent="0.25">
      <c r="A19" s="10" t="s">
        <v>46</v>
      </c>
      <c r="B19" s="27">
        <f>SUMIFS(Ordenes!R$2:R$1493,Ordenes!AF$2:AF$1493,MONTH(A19 &amp;1),Ordenes!AE$2:AE$1493,A$17)</f>
        <v>4778900</v>
      </c>
      <c r="C19" s="28">
        <f>+B19-'Costos Fijos'!L20</f>
        <v>1082288.6000000001</v>
      </c>
      <c r="D19" s="63">
        <f t="shared" si="4"/>
        <v>0.77352767373244891</v>
      </c>
      <c r="E19" s="66">
        <f>COUNTIFS(Ordenes!U:U,MONTH(A19 &amp;17),Ordenes!AC:AC,A$17)</f>
        <v>22</v>
      </c>
      <c r="F19" s="66">
        <f>COUNTIFS(Ordenes!V:V,MONTH(A19 &amp;17),Ordenes!AD:AD,A$17)</f>
        <v>21</v>
      </c>
      <c r="G19" s="30">
        <f t="shared" si="5"/>
        <v>3696611.4</v>
      </c>
      <c r="H19" s="30">
        <f t="shared" si="6"/>
        <v>1082288.6000000001</v>
      </c>
      <c r="I19" s="63">
        <f t="shared" si="7"/>
        <v>0.22647232626755112</v>
      </c>
      <c r="J19" s="33">
        <f>-SUMIFS(Ordenes!W$2:W$1493,Ordenes!AF$2:AF$1493,MONTH(A19 &amp;17),Ordenes!AE$2:AE$1493,A$17)</f>
        <v>0</v>
      </c>
      <c r="K19" s="27"/>
      <c r="L19" s="27">
        <v>702120.45</v>
      </c>
      <c r="M19" s="27"/>
    </row>
    <row r="20" spans="1:16" ht="15" x14ac:dyDescent="0.25">
      <c r="A20" s="10" t="s">
        <v>47</v>
      </c>
      <c r="B20" s="27">
        <f>SUMIFS(Ordenes!R$2:R$1493,Ordenes!AF$2:AF$1493,MONTH(A20 &amp;1),Ordenes!AE$2:AE$1493,A$17)</f>
        <v>3145000</v>
      </c>
      <c r="C20" s="28">
        <f>+B20-'Costos Fijos'!L21</f>
        <v>-563042.48</v>
      </c>
      <c r="D20" s="63">
        <f t="shared" si="4"/>
        <v>1.1790278155802862</v>
      </c>
      <c r="E20" s="66">
        <f>COUNTIFS(Ordenes!U:U,MONTH(A20 &amp;17),Ordenes!AC:AC,A$17)</f>
        <v>19</v>
      </c>
      <c r="F20" s="66">
        <f>COUNTIFS(Ordenes!V:V,MONTH(A20 &amp;17),Ordenes!AD:AD,A$17)</f>
        <v>16</v>
      </c>
      <c r="G20" s="30">
        <f t="shared" si="5"/>
        <v>3708042.48</v>
      </c>
      <c r="H20" s="30">
        <f t="shared" si="6"/>
        <v>-563042.48</v>
      </c>
      <c r="I20" s="63">
        <f t="shared" si="7"/>
        <v>-0.17902781558028616</v>
      </c>
      <c r="J20" s="33">
        <f>-SUMIFS(Ordenes!W$2:W$1493,Ordenes!AF$2:AF$1493,MONTH(A20 &amp;17),Ordenes!AE$2:AE$1493,A$17)</f>
        <v>0</v>
      </c>
      <c r="K20" s="27"/>
      <c r="L20" s="27">
        <v>799548.96</v>
      </c>
      <c r="M20" s="27"/>
    </row>
    <row r="21" spans="1:16" ht="15" x14ac:dyDescent="0.25">
      <c r="A21" s="10" t="s">
        <v>48</v>
      </c>
      <c r="B21" s="27">
        <f>SUMIFS(Ordenes!R$2:R$1493,Ordenes!AF$2:AF$1493,MONTH(A21 &amp;1),Ordenes!AE$2:AE$1493,A$17)</f>
        <v>5599600</v>
      </c>
      <c r="C21" s="28">
        <f>+B21-'Costos Fijos'!L22</f>
        <v>1759785.44</v>
      </c>
      <c r="D21" s="63">
        <f t="shared" si="4"/>
        <v>0.68573015215372535</v>
      </c>
      <c r="E21" s="66">
        <f>COUNTIFS(Ordenes!U:U,MONTH(A21 &amp;17),Ordenes!AC:AC,A$17)</f>
        <v>23</v>
      </c>
      <c r="F21" s="66">
        <f>COUNTIFS(Ordenes!V:V,MONTH(A21 &amp;17),Ordenes!AD:AD,A$17)</f>
        <v>23</v>
      </c>
      <c r="G21" s="30">
        <f t="shared" si="5"/>
        <v>3839814.56</v>
      </c>
      <c r="H21" s="30">
        <f t="shared" si="6"/>
        <v>1759785.44</v>
      </c>
      <c r="I21" s="63">
        <f t="shared" si="7"/>
        <v>0.31426984784627471</v>
      </c>
      <c r="J21" s="33">
        <f>-SUMIFS(Ordenes!W$2:W$1493,Ordenes!AF$2:AF$1493,MONTH(A21 &amp;17),Ordenes!AE$2:AE$1493,A$17)</f>
        <v>0</v>
      </c>
      <c r="K21" s="27">
        <v>1842500</v>
      </c>
      <c r="L21" s="27">
        <v>708435.94</v>
      </c>
      <c r="M21" s="27">
        <v>1500</v>
      </c>
    </row>
    <row r="22" spans="1:16" ht="15" x14ac:dyDescent="0.25">
      <c r="A22" s="10" t="s">
        <v>49</v>
      </c>
      <c r="B22" s="27">
        <f>SUMIFS(Ordenes!R$2:R$1493,Ordenes!AF$2:AF$1493,MONTH(A22 &amp;1),Ordenes!AE$2:AE$1493,A$17)</f>
        <v>4027500</v>
      </c>
      <c r="C22" s="28">
        <f>+B22-'Costos Fijos'!L23</f>
        <v>-1510560.2299999995</v>
      </c>
      <c r="D22" s="63">
        <f t="shared" si="4"/>
        <v>1.3750615096213532</v>
      </c>
      <c r="E22" s="66">
        <f>COUNTIFS(Ordenes!U:U,MONTH(A22 &amp;17),Ordenes!AC:AC,A$17)</f>
        <v>15</v>
      </c>
      <c r="F22" s="66">
        <f>COUNTIFS(Ordenes!V:V,MONTH(A22 &amp;17),Ordenes!AD:AD,A$17)</f>
        <v>21</v>
      </c>
      <c r="G22" s="30">
        <f t="shared" si="5"/>
        <v>5538060.2299999995</v>
      </c>
      <c r="H22" s="30">
        <f t="shared" si="6"/>
        <v>-1510560.2299999995</v>
      </c>
      <c r="I22" s="63">
        <f t="shared" si="7"/>
        <v>-0.3750615096213531</v>
      </c>
      <c r="J22" s="33">
        <f>-SUMIFS(Ordenes!W$2:W$1493,Ordenes!AF$2:AF$1493,MONTH(A22 &amp;17),Ordenes!AE$2:AE$1493,A$17)</f>
        <v>172500</v>
      </c>
      <c r="K22" s="27"/>
      <c r="L22" s="27">
        <v>4613587.3899999997</v>
      </c>
      <c r="M22" s="27"/>
    </row>
    <row r="23" spans="1:16" ht="15" x14ac:dyDescent="0.25">
      <c r="A23" s="10" t="s">
        <v>50</v>
      </c>
      <c r="B23" s="27">
        <f>SUMIFS(Ordenes!R$2:R$1493,Ordenes!AF$2:AF$1493,MONTH(A23 &amp;1),Ordenes!AE$2:AE$1493,A$17)</f>
        <v>4182750</v>
      </c>
      <c r="C23" s="28">
        <f>+B23-'Costos Fijos'!L24</f>
        <v>-276962.53000000026</v>
      </c>
      <c r="D23" s="63">
        <f t="shared" si="4"/>
        <v>1.0662154156954158</v>
      </c>
      <c r="E23" s="66">
        <f>COUNTIFS(Ordenes!U:U,MONTH(A23 &amp;17),Ordenes!AC:AC,A$17)</f>
        <v>23</v>
      </c>
      <c r="F23" s="66">
        <f>COUNTIFS(Ordenes!V:V,MONTH(A23 &amp;17),Ordenes!AD:AD,A$17)</f>
        <v>24</v>
      </c>
      <c r="G23" s="30">
        <f t="shared" si="5"/>
        <v>4459712.53</v>
      </c>
      <c r="H23" s="30">
        <f t="shared" si="6"/>
        <v>-276962.53000000026</v>
      </c>
      <c r="I23" s="63">
        <f t="shared" si="7"/>
        <v>-6.6215415695415752E-2</v>
      </c>
      <c r="J23" s="33">
        <f>-SUMIFS(Ordenes!W$2:W$1493,Ordenes!AF$2:AF$1493,MONTH(A23 &amp;17),Ordenes!AE$2:AE$1493,A$17)</f>
        <v>0</v>
      </c>
      <c r="K23" s="27"/>
      <c r="L23" s="27">
        <v>899868.10000000009</v>
      </c>
      <c r="M23" s="60"/>
    </row>
    <row r="24" spans="1:16" ht="15" x14ac:dyDescent="0.25">
      <c r="A24" s="10" t="s">
        <v>51</v>
      </c>
      <c r="B24" s="27">
        <f>SUMIFS(Ordenes!R$2:R$1493,Ordenes!AF$2:AF$1493,MONTH(A24 &amp;1),Ordenes!AE$2:AE$1493,A$17)</f>
        <v>4337105</v>
      </c>
      <c r="C24" s="28">
        <f>+B24-'Costos Fijos'!L25</f>
        <v>-87618.410000000149</v>
      </c>
      <c r="D24" s="63">
        <f t="shared" si="4"/>
        <v>1.0202020495238184</v>
      </c>
      <c r="E24" s="66">
        <f>COUNTIFS(Ordenes!U:U,MONTH(A24 &amp;17),Ordenes!AC:AC,A$17)</f>
        <v>21</v>
      </c>
      <c r="F24" s="66">
        <f>COUNTIFS(Ordenes!V:V,MONTH(A24 &amp;17),Ordenes!AD:AD,A$17)</f>
        <v>19</v>
      </c>
      <c r="G24" s="30">
        <f t="shared" si="5"/>
        <v>4424723.41</v>
      </c>
      <c r="H24" s="30">
        <f t="shared" si="6"/>
        <v>-87618.410000000149</v>
      </c>
      <c r="I24" s="63">
        <f t="shared" si="7"/>
        <v>-2.0202049523818343E-2</v>
      </c>
      <c r="J24" s="33">
        <f>-SUMIFS(Ordenes!W$2:W$1493,Ordenes!AF$2:AF$1493,MONTH(A24 &amp;17),Ordenes!AE$2:AE$1493,A$17)</f>
        <v>0</v>
      </c>
      <c r="K24" s="27"/>
      <c r="L24" s="27"/>
      <c r="M24" s="27"/>
    </row>
    <row r="25" spans="1:16" ht="15" x14ac:dyDescent="0.25">
      <c r="A25" s="10" t="s">
        <v>52</v>
      </c>
      <c r="B25" s="27">
        <f>SUMIFS(Ordenes!R$2:R$1493,Ordenes!AF$2:AF$1493,MONTH(A25 &amp;1),Ordenes!AE$2:AE$1493,A$17)</f>
        <v>7692675</v>
      </c>
      <c r="C25" s="28">
        <f>+B25-'Costos Fijos'!L26</f>
        <v>3143090.6400000006</v>
      </c>
      <c r="D25" s="63">
        <f t="shared" si="4"/>
        <v>0.59141772660355463</v>
      </c>
      <c r="E25" s="66">
        <f>COUNTIFS(Ordenes!U:U,MONTH(A25 &amp;17),Ordenes!AC:AC,A$17)</f>
        <v>15</v>
      </c>
      <c r="F25" s="66">
        <f>COUNTIFS(Ordenes!V:V,MONTH(A25 &amp;17),Ordenes!AD:AD,A$17)</f>
        <v>15</v>
      </c>
      <c r="G25" s="30">
        <f t="shared" si="5"/>
        <v>4549584.3599999994</v>
      </c>
      <c r="H25" s="30">
        <f t="shared" si="6"/>
        <v>3143090.6400000006</v>
      </c>
      <c r="I25" s="63">
        <f t="shared" si="7"/>
        <v>0.40858227339644537</v>
      </c>
      <c r="J25" s="33">
        <f>-SUMIFS(Ordenes!W$2:W$1493,Ordenes!AF$2:AF$1493,MONTH(A25 &amp;17),Ordenes!AE$2:AE$1493,A$17)</f>
        <v>0</v>
      </c>
      <c r="K25" s="27">
        <v>3680000</v>
      </c>
      <c r="L25" s="27">
        <v>902009.81</v>
      </c>
      <c r="M25" s="27">
        <v>2000</v>
      </c>
    </row>
    <row r="26" spans="1:16" ht="15" x14ac:dyDescent="0.25">
      <c r="A26" s="10" t="s">
        <v>53</v>
      </c>
      <c r="B26" s="27">
        <f>SUMIFS(Ordenes!R$2:R$1493,Ordenes!AF$2:AF$1493,MONTH(A26 &amp;1),Ordenes!AE$2:AE$1493,A$17)</f>
        <v>7303641</v>
      </c>
      <c r="C26" s="28">
        <f>+B26-'Costos Fijos'!L27</f>
        <v>2561966.3500000006</v>
      </c>
      <c r="D26" s="63">
        <f t="shared" si="4"/>
        <v>0.64922066268043555</v>
      </c>
      <c r="E26" s="66">
        <f>COUNTIFS(Ordenes!U:U,MONTH(A26 &amp;17),Ordenes!AC:AC,A$17)</f>
        <v>17</v>
      </c>
      <c r="F26" s="66">
        <f>COUNTIFS(Ordenes!V:V,MONTH(A26 &amp;17),Ordenes!AD:AD,A$17)</f>
        <v>17</v>
      </c>
      <c r="G26" s="30">
        <f t="shared" si="5"/>
        <v>4741674.6499999994</v>
      </c>
      <c r="H26" s="30">
        <f t="shared" si="6"/>
        <v>2561966.3500000006</v>
      </c>
      <c r="I26" s="63">
        <f t="shared" si="7"/>
        <v>0.3507793373195644</v>
      </c>
      <c r="J26" s="33">
        <f>-SUMIFS(Ordenes!W$2:W$1493,Ordenes!AF$2:AF$1493,MONTH(A26 &amp;17),Ordenes!AE$2:AE$1493,A$17)</f>
        <v>0</v>
      </c>
      <c r="K26" s="27">
        <v>2000000</v>
      </c>
      <c r="L26" s="27">
        <v>2150546.0399999996</v>
      </c>
      <c r="M26" s="27"/>
    </row>
    <row r="27" spans="1:16" ht="15" x14ac:dyDescent="0.25">
      <c r="A27" s="10" t="s">
        <v>54</v>
      </c>
      <c r="B27" s="27">
        <f>SUMIFS(Ordenes!R$2:R$1493,Ordenes!AF$2:AF$1493,MONTH(A27 &amp;1),Ordenes!AE$2:AE$1493,A$17)</f>
        <v>7673450</v>
      </c>
      <c r="C27" s="28">
        <f>+B27-'Costos Fijos'!L28</f>
        <v>1916295.37</v>
      </c>
      <c r="D27" s="63">
        <f t="shared" si="4"/>
        <v>0.75026938730297321</v>
      </c>
      <c r="E27" s="66">
        <f>COUNTIFS(Ordenes!U:U,MONTH(A27 &amp;17),Ordenes!AC:AC,A$17)</f>
        <v>22</v>
      </c>
      <c r="F27" s="66">
        <f>COUNTIFS(Ordenes!V:V,MONTH(A27 &amp;17),Ordenes!AD:AD,A$17)</f>
        <v>21</v>
      </c>
      <c r="G27" s="30">
        <f t="shared" si="5"/>
        <v>5757154.6299999999</v>
      </c>
      <c r="H27" s="30">
        <f t="shared" si="6"/>
        <v>1916295.37</v>
      </c>
      <c r="I27" s="63">
        <f t="shared" si="7"/>
        <v>0.24973061269702679</v>
      </c>
      <c r="J27" s="33">
        <f>-SUMIFS(Ordenes!W$2:W$1493,Ordenes!AF$2:AF$1493,MONTH(A27 &amp;17),Ordenes!AE$2:AE$1493,A$17)</f>
        <v>0</v>
      </c>
      <c r="K27" s="27">
        <v>2760000</v>
      </c>
      <c r="L27" s="27">
        <v>2028420.85</v>
      </c>
      <c r="M27" s="27">
        <v>500</v>
      </c>
      <c r="O27" s="17"/>
      <c r="P27" s="18">
        <f>P13+H30-J30</f>
        <v>2729086.1899999995</v>
      </c>
    </row>
    <row r="28" spans="1:16" ht="15" x14ac:dyDescent="0.25">
      <c r="A28" s="10" t="s">
        <v>55</v>
      </c>
      <c r="B28" s="27">
        <f>SUMIFS(Ordenes!R$2:R$1493,Ordenes!AF$2:AF$1493,MONTH(A28 &amp;1),Ordenes!AE$2:AE$1493,A$17)</f>
        <v>4904000</v>
      </c>
      <c r="C28" s="28">
        <f>+B28-'Costos Fijos'!L29</f>
        <v>-254100.40999999922</v>
      </c>
      <c r="D28" s="63">
        <f t="shared" si="4"/>
        <v>1.0518149286296898</v>
      </c>
      <c r="E28" s="66">
        <f>COUNTIFS(Ordenes!U:U,MONTH(A28 &amp;17),Ordenes!AC:AC,A$17)</f>
        <v>18</v>
      </c>
      <c r="F28" s="66">
        <f>COUNTIFS(Ordenes!V:V,MONTH(A28 &amp;17),Ordenes!AD:AD,A$17)</f>
        <v>11</v>
      </c>
      <c r="G28" s="30">
        <f t="shared" si="5"/>
        <v>5158100.4099999992</v>
      </c>
      <c r="H28" s="30">
        <f t="shared" si="6"/>
        <v>-254100.40999999922</v>
      </c>
      <c r="I28" s="63">
        <f t="shared" si="7"/>
        <v>-5.1814928629689887E-2</v>
      </c>
      <c r="J28" s="33">
        <f>-SUMIFS(Ordenes!W$2:W$1493,Ordenes!AF$2:AF$1493,MONTH(A28 &amp;17),Ordenes!AE$2:AE$1493,A$17)</f>
        <v>0</v>
      </c>
      <c r="K28" s="27">
        <v>999882.21</v>
      </c>
      <c r="L28" s="27">
        <v>2713698.16</v>
      </c>
      <c r="M28" s="27"/>
      <c r="O28" s="17" t="s">
        <v>996</v>
      </c>
      <c r="P28" s="18"/>
    </row>
    <row r="29" spans="1:16" ht="16.5" thickBot="1" x14ac:dyDescent="0.3">
      <c r="A29" s="11" t="s">
        <v>56</v>
      </c>
      <c r="B29" s="27">
        <f>SUMIFS(Ordenes!R$2:R$1493,Ordenes!AF$2:AF$1493,MONTH(A29 &amp;1),Ordenes!AE$2:AE$1493,A$17)</f>
        <v>2192000</v>
      </c>
      <c r="C29" s="28">
        <f>+B29-'Costos Fijos'!L30</f>
        <v>-1619522.9</v>
      </c>
      <c r="D29" s="64">
        <f t="shared" si="4"/>
        <v>1.7388334397810219</v>
      </c>
      <c r="E29" s="66">
        <f>COUNTIFS(Ordenes!U:U,MONTH(A29 &amp;17),Ordenes!AC:AC,A$17)</f>
        <v>12</v>
      </c>
      <c r="F29" s="66">
        <f>COUNTIFS(Ordenes!V:V,MONTH(A29 &amp;17),Ordenes!AD:AD,A$17)</f>
        <v>11</v>
      </c>
      <c r="G29" s="34">
        <f t="shared" si="5"/>
        <v>3811522.9</v>
      </c>
      <c r="H29" s="34">
        <f t="shared" si="6"/>
        <v>-1619522.9</v>
      </c>
      <c r="I29" s="64">
        <f t="shared" si="7"/>
        <v>-0.73883343978102189</v>
      </c>
      <c r="J29" s="33">
        <f>-SUMIFS(Ordenes!W$2:W$1493,Ordenes!AF$2:AF$1493,MONTH(A29 &amp;17),Ordenes!AE$2:AE$1493,A$17)</f>
        <v>0</v>
      </c>
      <c r="K29" s="27">
        <v>3758000</v>
      </c>
      <c r="L29" s="27">
        <v>1086950.1399999999</v>
      </c>
      <c r="M29" s="27">
        <v>1200</v>
      </c>
      <c r="O29" s="15" t="s">
        <v>66</v>
      </c>
      <c r="P29" s="16">
        <f>P27+P28+L30-K30</f>
        <v>4694551.599999994</v>
      </c>
    </row>
    <row r="30" spans="1:16" ht="16.5" thickBot="1" x14ac:dyDescent="0.3">
      <c r="A30" s="12" t="s">
        <v>57</v>
      </c>
      <c r="B30" s="35">
        <f>SUM(B18:B29)</f>
        <v>59075501</v>
      </c>
      <c r="C30" s="36">
        <f>SUM(C18:C29)</f>
        <v>5933135.660000002</v>
      </c>
      <c r="D30" s="65">
        <f t="shared" si="4"/>
        <v>0.89956690066834977</v>
      </c>
      <c r="E30" s="67">
        <f>SUM(E18:E29)</f>
        <v>227</v>
      </c>
      <c r="F30" s="67">
        <f>SUM(F18:F29)</f>
        <v>222</v>
      </c>
      <c r="G30" s="37">
        <f t="shared" si="5"/>
        <v>53142365.339999996</v>
      </c>
      <c r="H30" s="37">
        <f t="shared" si="6"/>
        <v>5933135.660000002</v>
      </c>
      <c r="I30" s="65">
        <f t="shared" si="7"/>
        <v>0.10043309933165022</v>
      </c>
      <c r="J30" s="38">
        <f>SUM(J18:J29)</f>
        <v>172500</v>
      </c>
      <c r="K30" s="39">
        <f>SUM(K18:K29)</f>
        <v>15040382.210000001</v>
      </c>
      <c r="L30" s="39">
        <f>SUM(L18:L29)</f>
        <v>17005847.619999997</v>
      </c>
      <c r="M30" s="39">
        <f>SUM(M18:M29)+M14</f>
        <v>11289.029999999999</v>
      </c>
      <c r="O30" s="15" t="s">
        <v>67</v>
      </c>
      <c r="P30" s="16">
        <f>P29-'[5]2025'!$P$500</f>
        <v>0</v>
      </c>
    </row>
    <row r="31" spans="1:16" ht="16.5" thickBot="1" x14ac:dyDescent="0.3">
      <c r="B31" s="61">
        <f>(B30/B14)-1</f>
        <v>0.67402099010410499</v>
      </c>
      <c r="C31" s="61">
        <f>(C30/C14)-1</f>
        <v>0.6632556483247376</v>
      </c>
    </row>
    <row r="32" spans="1:16" ht="16.5" thickBot="1" x14ac:dyDescent="0.3"/>
    <row r="33" spans="1:16" ht="39" thickBot="1" x14ac:dyDescent="0.3">
      <c r="A33" s="7">
        <v>2026</v>
      </c>
      <c r="B33" s="31" t="s">
        <v>59</v>
      </c>
      <c r="C33" s="31" t="s">
        <v>60</v>
      </c>
      <c r="D33" s="31" t="s">
        <v>61</v>
      </c>
      <c r="E33" s="31" t="s">
        <v>997</v>
      </c>
      <c r="F33" s="31" t="s">
        <v>998</v>
      </c>
      <c r="G33" s="31" t="s">
        <v>62</v>
      </c>
      <c r="H33" s="31" t="s">
        <v>63</v>
      </c>
      <c r="I33" s="31" t="s">
        <v>64</v>
      </c>
      <c r="J33" s="32" t="s">
        <v>65</v>
      </c>
      <c r="K33" s="31" t="s">
        <v>68</v>
      </c>
      <c r="L33" s="31" t="s">
        <v>69</v>
      </c>
      <c r="M33" s="31" t="s">
        <v>70</v>
      </c>
    </row>
    <row r="34" spans="1:16" ht="15" x14ac:dyDescent="0.25">
      <c r="A34" s="8" t="s">
        <v>45</v>
      </c>
      <c r="B34" s="27">
        <f>SUMIFS(Ordenes!R$2:R$1493,Ordenes!AF$2:AF$1493,MONTH(A34 &amp;1),Ordenes!AE$2:AE$1493,A$33)</f>
        <v>5807500</v>
      </c>
      <c r="C34" s="28">
        <f>+B34-'Costos Fijos'!L36</f>
        <v>3291552.9200000004</v>
      </c>
      <c r="D34" s="62">
        <f t="shared" ref="D34:D46" si="8">IFERROR(1-(C34/B34),"")</f>
        <v>0.43322377615152818</v>
      </c>
      <c r="E34" s="66">
        <f>COUNTIFS(Ordenes!U:U,MONTH(A34 &amp;17),Ordenes!AC:AC,A$33)</f>
        <v>14</v>
      </c>
      <c r="F34" s="66">
        <f>COUNTIFS(Ordenes!V:V,MONTH(A34 &amp;17),Ordenes!AD:AD,A$33)</f>
        <v>23</v>
      </c>
      <c r="G34" s="29">
        <f t="shared" ref="G34:G46" si="9">B34-C34</f>
        <v>2515947.0799999996</v>
      </c>
      <c r="H34" s="29">
        <f t="shared" ref="H34:H46" si="10">+C34</f>
        <v>3291552.9200000004</v>
      </c>
      <c r="I34" s="62">
        <f t="shared" ref="I34:I46" si="11">IFERROR(+H34/B34,"")</f>
        <v>0.56677622384847182</v>
      </c>
      <c r="J34" s="33">
        <f>-SUMIFS(Ordenes!W$2:W$1493,Ordenes!AF$2:AF$1493,MONTH(A34 &amp;34),Ordenes!AE$2:AE$1493,A$33)</f>
        <v>0</v>
      </c>
      <c r="K34" s="27"/>
      <c r="L34" s="27">
        <v>2000000</v>
      </c>
      <c r="M34" s="27"/>
    </row>
    <row r="35" spans="1:16" ht="15" x14ac:dyDescent="0.25">
      <c r="A35" s="10" t="s">
        <v>46</v>
      </c>
      <c r="B35" s="27">
        <f>SUMIFS(Ordenes!R$2:R$1493,Ordenes!AF$2:AF$1493,MONTH(A35 &amp;1),Ordenes!AE$2:AE$1493,A$33)</f>
        <v>4804000</v>
      </c>
      <c r="C35" s="28">
        <f>+B35-'Costos Fijos'!L37</f>
        <v>1690879.98</v>
      </c>
      <c r="D35" s="63">
        <f t="shared" si="8"/>
        <v>0.6480266486261449</v>
      </c>
      <c r="E35" s="66">
        <f>COUNTIFS(Ordenes!U:U,MONTH(A35 &amp;17),Ordenes!AC:AC,A$33)</f>
        <v>18</v>
      </c>
      <c r="F35" s="66">
        <f>COUNTIFS(Ordenes!V:V,MONTH(A35 &amp;17),Ordenes!AD:AD,A$33)</f>
        <v>16</v>
      </c>
      <c r="G35" s="30">
        <f t="shared" si="9"/>
        <v>3113120.02</v>
      </c>
      <c r="H35" s="30">
        <f t="shared" si="10"/>
        <v>1690879.98</v>
      </c>
      <c r="I35" s="63">
        <f t="shared" si="11"/>
        <v>0.3519733513738551</v>
      </c>
      <c r="J35" s="33">
        <f>-SUMIFS(Ordenes!W$2:W$1493,Ordenes!AF$2:AF$1493,MONTH(A35 &amp;34),Ordenes!AE$2:AE$1493,A$33)</f>
        <v>0</v>
      </c>
      <c r="K35" s="27"/>
      <c r="L35" s="27"/>
      <c r="M35" s="27"/>
    </row>
    <row r="36" spans="1:16" ht="15" x14ac:dyDescent="0.25">
      <c r="A36" s="10" t="s">
        <v>47</v>
      </c>
      <c r="B36" s="27">
        <f>SUMIFS(Ordenes!R$2:R$1493,Ordenes!AF$2:AF$1493,MONTH(A36 &amp;1),Ordenes!AE$2:AE$1493,A$33)</f>
        <v>4624500</v>
      </c>
      <c r="C36" s="28">
        <f>+B36-'Costos Fijos'!L38</f>
        <v>1404910.81</v>
      </c>
      <c r="D36" s="63">
        <f t="shared" si="8"/>
        <v>0.69620265758460365</v>
      </c>
      <c r="E36" s="66">
        <f>COUNTIFS(Ordenes!U:U,MONTH(A36 &amp;17),Ordenes!AC:AC,A$33)</f>
        <v>22</v>
      </c>
      <c r="F36" s="66">
        <f>COUNTIFS(Ordenes!V:V,MONTH(A36 &amp;17),Ordenes!AD:AD,A$33)</f>
        <v>18</v>
      </c>
      <c r="G36" s="30">
        <f t="shared" si="9"/>
        <v>3219589.19</v>
      </c>
      <c r="H36" s="30">
        <f t="shared" si="10"/>
        <v>1404910.81</v>
      </c>
      <c r="I36" s="63">
        <f t="shared" si="11"/>
        <v>0.3037973424153963</v>
      </c>
      <c r="J36" s="33">
        <f>-SUMIFS(Ordenes!W$2:W$1493,Ordenes!AF$2:AF$1493,MONTH(A36 &amp;34),Ordenes!AE$2:AE$1493,A$33)</f>
        <v>435000</v>
      </c>
      <c r="K36" s="27"/>
      <c r="L36" s="27"/>
      <c r="M36" s="27"/>
      <c r="P36" t="s">
        <v>1383</v>
      </c>
    </row>
    <row r="37" spans="1:16" ht="15" x14ac:dyDescent="0.25">
      <c r="A37" s="10" t="s">
        <v>48</v>
      </c>
      <c r="B37" s="27">
        <f>SUMIFS(Ordenes!R$2:R$1493,Ordenes!AF$2:AF$1493,MONTH(A37 &amp;1),Ordenes!AE$2:AE$1493,A$33)</f>
        <v>2527300</v>
      </c>
      <c r="C37" s="28">
        <f>+B37-'Costos Fijos'!L39</f>
        <v>-748232.41999999993</v>
      </c>
      <c r="D37" s="63">
        <f t="shared" si="8"/>
        <v>1.2960599928777747</v>
      </c>
      <c r="E37" s="66">
        <f>COUNTIFS(Ordenes!U:U,MONTH(A37 &amp;17),Ordenes!AC:AC,A$33)</f>
        <v>17</v>
      </c>
      <c r="F37" s="66">
        <f>COUNTIFS(Ordenes!V:V,MONTH(A37 &amp;17),Ordenes!AD:AD,A$33)</f>
        <v>14</v>
      </c>
      <c r="G37" s="30">
        <f t="shared" si="9"/>
        <v>3275532.42</v>
      </c>
      <c r="H37" s="30">
        <f t="shared" si="10"/>
        <v>-748232.41999999993</v>
      </c>
      <c r="I37" s="63">
        <f t="shared" si="11"/>
        <v>-0.29605999287777468</v>
      </c>
      <c r="J37" s="33">
        <f>-SUMIFS(Ordenes!W$2:W$1493,Ordenes!AF$2:AF$1493,MONTH(A37 &amp;34),Ordenes!AE$2:AE$1493,A$33)</f>
        <v>177500</v>
      </c>
      <c r="K37" s="27">
        <v>702500</v>
      </c>
      <c r="L37" s="27"/>
      <c r="M37" s="27">
        <v>500</v>
      </c>
    </row>
    <row r="38" spans="1:16" ht="15" x14ac:dyDescent="0.25">
      <c r="A38" s="10" t="s">
        <v>49</v>
      </c>
      <c r="B38" s="27">
        <f>SUMIFS(Ordenes!R$2:R$1493,Ordenes!AF$2:AF$1493,MONTH(A38 &amp;1),Ordenes!AE$2:AE$1493,A$33)</f>
        <v>1837000</v>
      </c>
      <c r="C38" s="28">
        <f>+B38-'Costos Fijos'!L40</f>
        <v>1837000</v>
      </c>
      <c r="D38" s="63">
        <f t="shared" si="8"/>
        <v>0</v>
      </c>
      <c r="E38" s="66">
        <f>COUNTIFS(Ordenes!U:U,MONTH(A38 &amp;17),Ordenes!AC:AC,A$33)</f>
        <v>6</v>
      </c>
      <c r="F38" s="66">
        <f>COUNTIFS(Ordenes!V:V,MONTH(A38 &amp;17),Ordenes!AD:AD,A$33)</f>
        <v>6</v>
      </c>
      <c r="G38" s="30">
        <f t="shared" si="9"/>
        <v>0</v>
      </c>
      <c r="H38" s="30">
        <f t="shared" si="10"/>
        <v>1837000</v>
      </c>
      <c r="I38" s="63">
        <f t="shared" si="11"/>
        <v>1</v>
      </c>
      <c r="J38" s="33">
        <f>-SUMIFS(Ordenes!W$2:W$1493,Ordenes!AF$2:AF$1493,MONTH(A38 &amp;34),Ordenes!AE$2:AE$1493,A$33)</f>
        <v>1553000</v>
      </c>
      <c r="K38" s="27"/>
      <c r="L38" s="27"/>
      <c r="M38" s="27"/>
    </row>
    <row r="39" spans="1:16" ht="15" x14ac:dyDescent="0.25">
      <c r="A39" s="10" t="s">
        <v>50</v>
      </c>
      <c r="B39" s="27">
        <f>SUMIFS(Ordenes!R$2:R$1493,Ordenes!AF$2:AF$1493,MONTH(A39 &amp;1),Ordenes!AE$2:AE$1493,A$33)</f>
        <v>0</v>
      </c>
      <c r="C39" s="28">
        <f>+B39-'Costos Fijos'!L41</f>
        <v>0</v>
      </c>
      <c r="D39" s="63" t="str">
        <f t="shared" si="8"/>
        <v/>
      </c>
      <c r="E39" s="66">
        <f>COUNTIFS(Ordenes!U:U,MONTH(A39 &amp;17),Ordenes!AC:AC,A$33)</f>
        <v>0</v>
      </c>
      <c r="F39" s="66">
        <f>COUNTIFS(Ordenes!V:V,MONTH(A39 &amp;17),Ordenes!AD:AD,A$33)</f>
        <v>0</v>
      </c>
      <c r="G39" s="30">
        <f t="shared" si="9"/>
        <v>0</v>
      </c>
      <c r="H39" s="30">
        <f t="shared" si="10"/>
        <v>0</v>
      </c>
      <c r="I39" s="63" t="str">
        <f t="shared" si="11"/>
        <v/>
      </c>
      <c r="J39" s="33">
        <f>-SUMIFS(Ordenes!W$2:W$1493,Ordenes!AF$2:AF$1493,MONTH(A39 &amp;34),Ordenes!AE$2:AE$1493,A$33)</f>
        <v>0</v>
      </c>
      <c r="K39" s="27"/>
      <c r="L39" s="27"/>
      <c r="M39" s="60"/>
    </row>
    <row r="40" spans="1:16" ht="15" x14ac:dyDescent="0.25">
      <c r="A40" s="10" t="s">
        <v>51</v>
      </c>
      <c r="B40" s="27">
        <f>SUMIFS(Ordenes!R$2:R$1493,Ordenes!AF$2:AF$1493,MONTH(A40 &amp;1),Ordenes!AE$2:AE$1493,A$33)</f>
        <v>0</v>
      </c>
      <c r="C40" s="28">
        <f>+B40-'Costos Fijos'!L42</f>
        <v>0</v>
      </c>
      <c r="D40" s="63" t="str">
        <f t="shared" si="8"/>
        <v/>
      </c>
      <c r="E40" s="66">
        <f>COUNTIFS(Ordenes!U:U,MONTH(A40 &amp;17),Ordenes!AC:AC,A$33)</f>
        <v>0</v>
      </c>
      <c r="F40" s="66">
        <f>COUNTIFS(Ordenes!V:V,MONTH(A40 &amp;17),Ordenes!AD:AD,A$33)</f>
        <v>0</v>
      </c>
      <c r="G40" s="30">
        <f t="shared" si="9"/>
        <v>0</v>
      </c>
      <c r="H40" s="30">
        <f t="shared" si="10"/>
        <v>0</v>
      </c>
      <c r="I40" s="63" t="str">
        <f t="shared" si="11"/>
        <v/>
      </c>
      <c r="J40" s="33">
        <f>-SUMIFS(Ordenes!W$2:W$1493,Ordenes!AF$2:AF$1493,MONTH(A40 &amp;34),Ordenes!AE$2:AE$1493,A$33)</f>
        <v>0</v>
      </c>
      <c r="K40" s="27"/>
      <c r="L40" s="27"/>
      <c r="M40" s="27"/>
    </row>
    <row r="41" spans="1:16" ht="15" x14ac:dyDescent="0.25">
      <c r="A41" s="10" t="s">
        <v>52</v>
      </c>
      <c r="B41" s="27">
        <f>SUMIFS(Ordenes!R$2:R$1493,Ordenes!AF$2:AF$1493,MONTH(A41 &amp;1),Ordenes!AE$2:AE$1493,A$33)</f>
        <v>0</v>
      </c>
      <c r="C41" s="28">
        <f>+B41-'Costos Fijos'!L43</f>
        <v>0</v>
      </c>
      <c r="D41" s="63" t="str">
        <f t="shared" si="8"/>
        <v/>
      </c>
      <c r="E41" s="66">
        <f>COUNTIFS(Ordenes!U:U,MONTH(A41 &amp;17),Ordenes!AC:AC,A$33)</f>
        <v>0</v>
      </c>
      <c r="F41" s="66">
        <f>COUNTIFS(Ordenes!V:V,MONTH(A41 &amp;17),Ordenes!AD:AD,A$33)</f>
        <v>0</v>
      </c>
      <c r="G41" s="30">
        <f t="shared" si="9"/>
        <v>0</v>
      </c>
      <c r="H41" s="30">
        <f t="shared" si="10"/>
        <v>0</v>
      </c>
      <c r="I41" s="63" t="str">
        <f t="shared" si="11"/>
        <v/>
      </c>
      <c r="J41" s="33">
        <f>-SUMIFS(Ordenes!W$2:W$1493,Ordenes!AF$2:AF$1493,MONTH(A41 &amp;34),Ordenes!AE$2:AE$1493,A$33)</f>
        <v>0</v>
      </c>
      <c r="K41" s="27"/>
      <c r="L41" s="27"/>
      <c r="M41" s="27"/>
    </row>
    <row r="42" spans="1:16" ht="15" x14ac:dyDescent="0.25">
      <c r="A42" s="10" t="s">
        <v>53</v>
      </c>
      <c r="B42" s="27">
        <f>SUMIFS(Ordenes!R$2:R$1493,Ordenes!AF$2:AF$1493,MONTH(A42 &amp;1),Ordenes!AE$2:AE$1493,A$33)</f>
        <v>0</v>
      </c>
      <c r="C42" s="28">
        <f>+B42-'Costos Fijos'!L44</f>
        <v>0</v>
      </c>
      <c r="D42" s="63" t="str">
        <f t="shared" si="8"/>
        <v/>
      </c>
      <c r="E42" s="66">
        <f>COUNTIFS(Ordenes!U:U,MONTH(A42 &amp;17),Ordenes!AC:AC,A$33)</f>
        <v>0</v>
      </c>
      <c r="F42" s="66">
        <f>COUNTIFS(Ordenes!V:V,MONTH(A42 &amp;17),Ordenes!AD:AD,A$33)</f>
        <v>0</v>
      </c>
      <c r="G42" s="30">
        <f t="shared" si="9"/>
        <v>0</v>
      </c>
      <c r="H42" s="30">
        <f t="shared" si="10"/>
        <v>0</v>
      </c>
      <c r="I42" s="63" t="str">
        <f t="shared" si="11"/>
        <v/>
      </c>
      <c r="J42" s="33">
        <f>-SUMIFS(Ordenes!W$2:W$1493,Ordenes!AF$2:AF$1493,MONTH(A42 &amp;34),Ordenes!AE$2:AE$1493,A$33)</f>
        <v>0</v>
      </c>
      <c r="K42" s="27"/>
      <c r="L42" s="27"/>
      <c r="M42" s="27"/>
    </row>
    <row r="43" spans="1:16" ht="15" x14ac:dyDescent="0.25">
      <c r="A43" s="10" t="s">
        <v>54</v>
      </c>
      <c r="B43" s="27">
        <f>SUMIFS(Ordenes!R$2:R$1493,Ordenes!AF$2:AF$1493,MONTH(A43 &amp;1),Ordenes!AE$2:AE$1493,A$33)</f>
        <v>0</v>
      </c>
      <c r="C43" s="28">
        <f>+B43-'Costos Fijos'!L45</f>
        <v>0</v>
      </c>
      <c r="D43" s="63" t="str">
        <f t="shared" si="8"/>
        <v/>
      </c>
      <c r="E43" s="66">
        <f>COUNTIFS(Ordenes!U:U,MONTH(A43 &amp;17),Ordenes!AC:AC,A$33)</f>
        <v>0</v>
      </c>
      <c r="F43" s="66">
        <f>COUNTIFS(Ordenes!V:V,MONTH(A43 &amp;17),Ordenes!AD:AD,A$33)</f>
        <v>0</v>
      </c>
      <c r="G43" s="30">
        <f t="shared" si="9"/>
        <v>0</v>
      </c>
      <c r="H43" s="30">
        <f t="shared" si="10"/>
        <v>0</v>
      </c>
      <c r="I43" s="63" t="str">
        <f t="shared" si="11"/>
        <v/>
      </c>
      <c r="J43" s="33">
        <f>-SUMIFS(Ordenes!W$2:W$1493,Ordenes!AF$2:AF$1493,MONTH(A43 &amp;34),Ordenes!AE$2:AE$1493,A$33)</f>
        <v>0</v>
      </c>
      <c r="K43" s="27"/>
      <c r="L43" s="27"/>
      <c r="M43" s="27"/>
      <c r="O43" s="17"/>
      <c r="P43" s="18">
        <f>P29+H46-J46</f>
        <v>10005162.889999995</v>
      </c>
    </row>
    <row r="44" spans="1:16" ht="15" x14ac:dyDescent="0.25">
      <c r="A44" s="10" t="s">
        <v>55</v>
      </c>
      <c r="B44" s="27">
        <f>SUMIFS(Ordenes!R$2:R$1493,Ordenes!AF$2:AF$1493,MONTH(A44 &amp;1),Ordenes!AE$2:AE$1493,A$33)</f>
        <v>0</v>
      </c>
      <c r="C44" s="28">
        <f>+B44-'Costos Fijos'!L46</f>
        <v>0</v>
      </c>
      <c r="D44" s="63" t="str">
        <f t="shared" si="8"/>
        <v/>
      </c>
      <c r="E44" s="66">
        <f>COUNTIFS(Ordenes!U:U,MONTH(A44 &amp;17),Ordenes!AC:AC,A$33)</f>
        <v>0</v>
      </c>
      <c r="F44" s="66">
        <f>COUNTIFS(Ordenes!V:V,MONTH(A44 &amp;17),Ordenes!AD:AD,A$33)</f>
        <v>0</v>
      </c>
      <c r="G44" s="30">
        <f t="shared" si="9"/>
        <v>0</v>
      </c>
      <c r="H44" s="30">
        <f t="shared" si="10"/>
        <v>0</v>
      </c>
      <c r="I44" s="63" t="str">
        <f t="shared" si="11"/>
        <v/>
      </c>
      <c r="J44" s="33">
        <f>-SUMIFS(Ordenes!W$2:W$1493,Ordenes!AF$2:AF$1493,MONTH(A44 &amp;34),Ordenes!AE$2:AE$1493,A$33)</f>
        <v>0</v>
      </c>
      <c r="K44" s="27"/>
      <c r="L44" s="27"/>
      <c r="M44" s="27"/>
      <c r="O44" s="17" t="s">
        <v>996</v>
      </c>
      <c r="P44" s="18"/>
    </row>
    <row r="45" spans="1:16" ht="16.5" thickBot="1" x14ac:dyDescent="0.3">
      <c r="A45" s="11" t="s">
        <v>56</v>
      </c>
      <c r="B45" s="27">
        <f>SUMIFS(Ordenes!R$2:R$1493,Ordenes!AF$2:AF$1493,MONTH(A45 &amp;1),Ordenes!AE$2:AE$1493,A$33)</f>
        <v>0</v>
      </c>
      <c r="C45" s="28">
        <f>+B45-'Costos Fijos'!L47</f>
        <v>0</v>
      </c>
      <c r="D45" s="64" t="str">
        <f t="shared" si="8"/>
        <v/>
      </c>
      <c r="E45" s="66">
        <f>COUNTIFS(Ordenes!U:U,MONTH(A45 &amp;17),Ordenes!AC:AC,A$33)</f>
        <v>0</v>
      </c>
      <c r="F45" s="66">
        <f>COUNTIFS(Ordenes!V:V,MONTH(A45 &amp;17),Ordenes!AD:AD,A$33)</f>
        <v>0</v>
      </c>
      <c r="G45" s="34">
        <f t="shared" si="9"/>
        <v>0</v>
      </c>
      <c r="H45" s="34">
        <f t="shared" si="10"/>
        <v>0</v>
      </c>
      <c r="I45" s="64" t="str">
        <f t="shared" si="11"/>
        <v/>
      </c>
      <c r="J45" s="33">
        <f>-SUMIFS(Ordenes!W$2:W$1493,Ordenes!AF$2:AF$1493,MONTH(A45 &amp;34),Ordenes!AE$2:AE$1493,A$33)</f>
        <v>0</v>
      </c>
      <c r="K45" s="27"/>
      <c r="L45" s="27"/>
      <c r="M45" s="27"/>
      <c r="O45" s="15" t="s">
        <v>66</v>
      </c>
      <c r="P45" s="16">
        <f>P43+P44+L46-K46</f>
        <v>11302662.889999995</v>
      </c>
    </row>
    <row r="46" spans="1:16" ht="16.5" thickBot="1" x14ac:dyDescent="0.3">
      <c r="A46" s="12" t="s">
        <v>57</v>
      </c>
      <c r="B46" s="35">
        <f>SUM(B34:B45)</f>
        <v>19600300</v>
      </c>
      <c r="C46" s="36">
        <f>SUM(C34:C45)</f>
        <v>7476111.290000001</v>
      </c>
      <c r="D46" s="65">
        <f t="shared" si="8"/>
        <v>0.61857158870017293</v>
      </c>
      <c r="E46" s="67">
        <f>SUM(E34:E45)</f>
        <v>77</v>
      </c>
      <c r="F46" s="67">
        <f>SUM(F34:F45)</f>
        <v>77</v>
      </c>
      <c r="G46" s="37">
        <f t="shared" si="9"/>
        <v>12124188.709999999</v>
      </c>
      <c r="H46" s="37">
        <f t="shared" si="10"/>
        <v>7476111.290000001</v>
      </c>
      <c r="I46" s="65">
        <f t="shared" si="11"/>
        <v>0.38142841129982707</v>
      </c>
      <c r="J46" s="38">
        <f>SUM(J34:J45)</f>
        <v>2165500</v>
      </c>
      <c r="K46" s="39">
        <f>SUM(K34:K45)</f>
        <v>702500</v>
      </c>
      <c r="L46" s="39">
        <f>SUM(L34:L45)</f>
        <v>2000000</v>
      </c>
      <c r="M46" s="39">
        <f>SUM(M34:M45)+M30</f>
        <v>11789.029999999999</v>
      </c>
      <c r="O46" s="15" t="s">
        <v>67</v>
      </c>
      <c r="P46" s="16">
        <f>P45-'[5]2026'!$M$500</f>
        <v>3932799.9999999944</v>
      </c>
    </row>
    <row r="47" spans="1:16" ht="16.5" thickBot="1" x14ac:dyDescent="0.3">
      <c r="B47" s="61">
        <f>(B46/B30)-1</f>
        <v>-0.66821610196754833</v>
      </c>
      <c r="C47" s="61">
        <f>(C46/C30)-1</f>
        <v>0.26006073658528117</v>
      </c>
    </row>
  </sheetData>
  <pageMargins left="0.7" right="0.7" top="0.75" bottom="0.75" header="0.3" footer="0.3"/>
  <pageSetup orientation="portrait" r:id="rId1"/>
  <ignoredErrors>
    <ignoredError sqref="D3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Ordenes</vt:lpstr>
      <vt:lpstr>Costos Fijos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2022-10-05T01:24:50Z</dcterms:created>
  <dcterms:modified xsi:type="dcterms:W3CDTF">2026-05-17T17:19:57Z</dcterms:modified>
</cp:coreProperties>
</file>